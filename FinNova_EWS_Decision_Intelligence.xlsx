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E9C6D0EC-E578-4F24-8133-22F14969E88A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Customer" sheetId="1" r:id="rId1"/>
    <sheet name="Loan" sheetId="2" r:id="rId2"/>
    <sheet name="Repayment" sheetId="3" r:id="rId3"/>
    <sheet name="Monthly_Behaviour" sheetId="6" r:id="rId4"/>
    <sheet name="EWS" sheetId="5" r:id="rId5"/>
    <sheet name="Collection_Activity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1" i="5" l="1"/>
  <c r="P10" i="5"/>
  <c r="P9" i="5"/>
  <c r="P8" i="5"/>
  <c r="P7" i="5"/>
  <c r="P6" i="5"/>
  <c r="P5" i="5"/>
  <c r="P4" i="5"/>
  <c r="P3" i="5"/>
  <c r="P2" i="5"/>
  <c r="K11" i="5"/>
  <c r="O11" i="5" s="1"/>
  <c r="K10" i="5"/>
  <c r="O10" i="5" s="1"/>
  <c r="K9" i="5"/>
  <c r="O9" i="5" s="1"/>
  <c r="K8" i="5"/>
  <c r="O8" i="5" s="1"/>
  <c r="K7" i="5"/>
  <c r="O7" i="5" s="1"/>
  <c r="K6" i="5"/>
  <c r="O6" i="5" s="1"/>
  <c r="K5" i="5"/>
  <c r="O5" i="5" s="1"/>
  <c r="K4" i="5"/>
  <c r="O4" i="5" s="1"/>
  <c r="K3" i="5"/>
  <c r="O3" i="5" s="1"/>
  <c r="K2" i="5"/>
  <c r="O2" i="5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" i="2"/>
  <c r="L2" i="5" l="1"/>
  <c r="M2" i="5"/>
  <c r="N2" i="5" s="1"/>
  <c r="L3" i="5"/>
  <c r="M3" i="5"/>
  <c r="N3" i="5" s="1"/>
  <c r="L4" i="5"/>
  <c r="M4" i="5"/>
  <c r="N4" i="5" s="1"/>
  <c r="L5" i="5"/>
  <c r="M5" i="5"/>
  <c r="N5" i="5" s="1"/>
  <c r="L6" i="5"/>
  <c r="M6" i="5"/>
  <c r="N6" i="5" s="1"/>
  <c r="L7" i="5"/>
  <c r="M7" i="5"/>
  <c r="N7" i="5" s="1"/>
  <c r="L8" i="5"/>
  <c r="M8" i="5"/>
  <c r="N8" i="5" s="1"/>
  <c r="L9" i="5"/>
  <c r="M9" i="5"/>
  <c r="N9" i="5" s="1"/>
  <c r="L10" i="5"/>
  <c r="M10" i="5"/>
  <c r="N10" i="5" s="1"/>
  <c r="L11" i="5"/>
  <c r="M11" i="5"/>
  <c r="N11" i="5" s="1"/>
</calcChain>
</file>

<file path=xl/sharedStrings.xml><?xml version="1.0" encoding="utf-8"?>
<sst xmlns="http://schemas.openxmlformats.org/spreadsheetml/2006/main" count="567" uniqueCount="265">
  <si>
    <t>Customer_ID</t>
  </si>
  <si>
    <t>Customer_Name</t>
  </si>
  <si>
    <t>Age</t>
  </si>
  <si>
    <t>Gender</t>
  </si>
  <si>
    <t>Employment_Type</t>
  </si>
  <si>
    <t>Monthly_Income</t>
  </si>
  <si>
    <t>City</t>
  </si>
  <si>
    <t>State</t>
  </si>
  <si>
    <t>Customer_Segment</t>
  </si>
  <si>
    <t>Customer_Since</t>
  </si>
  <si>
    <t>CUST00001</t>
  </si>
  <si>
    <t>Customer 00001</t>
  </si>
  <si>
    <t>Male</t>
  </si>
  <si>
    <t>Salaried</t>
  </si>
  <si>
    <t>Lucknow</t>
  </si>
  <si>
    <t>Uttar Pradesh</t>
  </si>
  <si>
    <t>Mass</t>
  </si>
  <si>
    <t>CUST00002</t>
  </si>
  <si>
    <t>Customer 00002</t>
  </si>
  <si>
    <t>Female</t>
  </si>
  <si>
    <t>Delhi</t>
  </si>
  <si>
    <t>Emerging Affluent</t>
  </si>
  <si>
    <t>CUST00003</t>
  </si>
  <si>
    <t>Customer 00003</t>
  </si>
  <si>
    <t>Business Owner</t>
  </si>
  <si>
    <t>Jaipur</t>
  </si>
  <si>
    <t>Rajasthan</t>
  </si>
  <si>
    <t>CUST00004</t>
  </si>
  <si>
    <t>Customer 00004</t>
  </si>
  <si>
    <t>Self-Employed</t>
  </si>
  <si>
    <t>Mumbai</t>
  </si>
  <si>
    <t>Maharashtra</t>
  </si>
  <si>
    <t>CUST00005</t>
  </si>
  <si>
    <t>Customer 00005</t>
  </si>
  <si>
    <t>Ahmedabad</t>
  </si>
  <si>
    <t>Gujarat</t>
  </si>
  <si>
    <t>Affluent</t>
  </si>
  <si>
    <t>CUST00006</t>
  </si>
  <si>
    <t>Customer 00006</t>
  </si>
  <si>
    <t>Kanpur</t>
  </si>
  <si>
    <t>CUST00007</t>
  </si>
  <si>
    <t>Customer 00007</t>
  </si>
  <si>
    <t>Pune</t>
  </si>
  <si>
    <t>CUST00008</t>
  </si>
  <si>
    <t>Customer 00008</t>
  </si>
  <si>
    <t>CUST00009</t>
  </si>
  <si>
    <t>Customer 00009</t>
  </si>
  <si>
    <t>Bengaluru</t>
  </si>
  <si>
    <t>Karnataka</t>
  </si>
  <si>
    <t>CUST00010</t>
  </si>
  <si>
    <t>Customer 00010</t>
  </si>
  <si>
    <t>Noida</t>
  </si>
  <si>
    <t>CUST00011</t>
  </si>
  <si>
    <t>Customer 00011</t>
  </si>
  <si>
    <t>Hyderabad</t>
  </si>
  <si>
    <t>Telangana</t>
  </si>
  <si>
    <t>CUST00012</t>
  </si>
  <si>
    <t>Customer 00012</t>
  </si>
  <si>
    <t>Kolkata</t>
  </si>
  <si>
    <t>West Bengal</t>
  </si>
  <si>
    <t>CUST00013</t>
  </si>
  <si>
    <t>Customer 00013</t>
  </si>
  <si>
    <t>Surat</t>
  </si>
  <si>
    <t>CUST00014</t>
  </si>
  <si>
    <t>Customer 00014</t>
  </si>
  <si>
    <t>Patna</t>
  </si>
  <si>
    <t>Bihar</t>
  </si>
  <si>
    <t>CUST00015</t>
  </si>
  <si>
    <t>Customer 00015</t>
  </si>
  <si>
    <t>Chennai</t>
  </si>
  <si>
    <t>Tamil Nadu</t>
  </si>
  <si>
    <t>CUST00016</t>
  </si>
  <si>
    <t>Customer 00016</t>
  </si>
  <si>
    <t>Varanasi</t>
  </si>
  <si>
    <t>CUST00017</t>
  </si>
  <si>
    <t>Customer 00017</t>
  </si>
  <si>
    <t>Gurugram</t>
  </si>
  <si>
    <t>Haryana</t>
  </si>
  <si>
    <t>CUST00018</t>
  </si>
  <si>
    <t>Customer 00018</t>
  </si>
  <si>
    <t>Bhopal</t>
  </si>
  <si>
    <t>Madhya Pradesh</t>
  </si>
  <si>
    <t>CUST00019</t>
  </si>
  <si>
    <t>Customer 00019</t>
  </si>
  <si>
    <t>CUST00020</t>
  </si>
  <si>
    <t>Customer 00020</t>
  </si>
  <si>
    <t>Indore</t>
  </si>
  <si>
    <t>Loan_ID</t>
  </si>
  <si>
    <t>Loan_Product</t>
  </si>
  <si>
    <t>Loan_Purpose</t>
  </si>
  <si>
    <t>Disbursement_Date</t>
  </si>
  <si>
    <t>Sanction_Amount</t>
  </si>
  <si>
    <t>Interest_Rate</t>
  </si>
  <si>
    <t>Tenure_Months</t>
  </si>
  <si>
    <t>EMI_Amount</t>
  </si>
  <si>
    <t>Outstanding_Amount</t>
  </si>
  <si>
    <t>Loan_Status</t>
  </si>
  <si>
    <t>Risk_Grade</t>
  </si>
  <si>
    <t>LN000001</t>
  </si>
  <si>
    <t>Personal Loan</t>
  </si>
  <si>
    <t>Personal</t>
  </si>
  <si>
    <t>Active</t>
  </si>
  <si>
    <t>B</t>
  </si>
  <si>
    <t>LN000002</t>
  </si>
  <si>
    <t>Consumer Durable</t>
  </si>
  <si>
    <t>Electronics</t>
  </si>
  <si>
    <t>LN000003</t>
  </si>
  <si>
    <t>Education</t>
  </si>
  <si>
    <t>A</t>
  </si>
  <si>
    <t>LN000004</t>
  </si>
  <si>
    <t>MSME Business Loan</t>
  </si>
  <si>
    <t>Working Capital</t>
  </si>
  <si>
    <t>LN000005</t>
  </si>
  <si>
    <t>LN000006</t>
  </si>
  <si>
    <t>Closed</t>
  </si>
  <si>
    <t>C</t>
  </si>
  <si>
    <t>LN000007</t>
  </si>
  <si>
    <t>Business Expansion</t>
  </si>
  <si>
    <t>LN000008</t>
  </si>
  <si>
    <t>Medical</t>
  </si>
  <si>
    <t>LN000009</t>
  </si>
  <si>
    <t>Home Improvement</t>
  </si>
  <si>
    <t>LN000010</t>
  </si>
  <si>
    <t>LN000011</t>
  </si>
  <si>
    <t>LN000012</t>
  </si>
  <si>
    <t>LN000013</t>
  </si>
  <si>
    <t>LN000014</t>
  </si>
  <si>
    <t>LN000015</t>
  </si>
  <si>
    <t>LN000016</t>
  </si>
  <si>
    <t>LN000017</t>
  </si>
  <si>
    <t>LN000018</t>
  </si>
  <si>
    <t>LN000019</t>
  </si>
  <si>
    <t>LN000020</t>
  </si>
  <si>
    <t>LN000021</t>
  </si>
  <si>
    <t>LN000022</t>
  </si>
  <si>
    <t>LN000023</t>
  </si>
  <si>
    <t>LN000024</t>
  </si>
  <si>
    <t>LN000025</t>
  </si>
  <si>
    <t>Repayment_ID</t>
  </si>
  <si>
    <t>Due_Date</t>
  </si>
  <si>
    <t>Payment_Date</t>
  </si>
  <si>
    <t>Due_Amount</t>
  </si>
  <si>
    <t>Paid_Amount</t>
  </si>
  <si>
    <t>DPD</t>
  </si>
  <si>
    <t>Payment_Status</t>
  </si>
  <si>
    <t>Bounce_Flag</t>
  </si>
  <si>
    <t>Partial_Payment_Flag</t>
  </si>
  <si>
    <t>RP000001</t>
  </si>
  <si>
    <t>Paid</t>
  </si>
  <si>
    <t>RP000002</t>
  </si>
  <si>
    <t>RP000003</t>
  </si>
  <si>
    <t>RP000004</t>
  </si>
  <si>
    <t>RP000005</t>
  </si>
  <si>
    <t>RP000006</t>
  </si>
  <si>
    <t>RP000007</t>
  </si>
  <si>
    <t>RP000008</t>
  </si>
  <si>
    <t>RP000009</t>
  </si>
  <si>
    <t>Partial</t>
  </si>
  <si>
    <t>RP000010</t>
  </si>
  <si>
    <t>RP000011</t>
  </si>
  <si>
    <t>RP000012</t>
  </si>
  <si>
    <t>RP000013</t>
  </si>
  <si>
    <t>RP000014</t>
  </si>
  <si>
    <t>RP000015</t>
  </si>
  <si>
    <t>RP000016</t>
  </si>
  <si>
    <t>RP000017</t>
  </si>
  <si>
    <t>RP000018</t>
  </si>
  <si>
    <t>RP000019</t>
  </si>
  <si>
    <t>RP000020</t>
  </si>
  <si>
    <t>Behaviour_ID</t>
  </si>
  <si>
    <t>Behaviour_Month</t>
  </si>
  <si>
    <t>Max_DPD</t>
  </si>
  <si>
    <t>Avg_DPD</t>
  </si>
  <si>
    <t>Payment_Ratio</t>
  </si>
  <si>
    <t>Bounce_Count</t>
  </si>
  <si>
    <t>Partial_Payment_Count</t>
  </si>
  <si>
    <t>DPD_Trend</t>
  </si>
  <si>
    <t>Risk_Signal</t>
  </si>
  <si>
    <t>BH000001</t>
  </si>
  <si>
    <t>2024-02</t>
  </si>
  <si>
    <t>Stable</t>
  </si>
  <si>
    <t>Normal</t>
  </si>
  <si>
    <t>BH000002</t>
  </si>
  <si>
    <t>2024-03</t>
  </si>
  <si>
    <t>BH000003</t>
  </si>
  <si>
    <t>2024-10</t>
  </si>
  <si>
    <t>Deteriorating</t>
  </si>
  <si>
    <t>Watch</t>
  </si>
  <si>
    <t>BH000004</t>
  </si>
  <si>
    <t>2024-11</t>
  </si>
  <si>
    <t>BH000005</t>
  </si>
  <si>
    <t>2024-12</t>
  </si>
  <si>
    <t>Early Warning</t>
  </si>
  <si>
    <t>BH000006</t>
  </si>
  <si>
    <t>2024-04</t>
  </si>
  <si>
    <t>BH000007</t>
  </si>
  <si>
    <t>2024-05</t>
  </si>
  <si>
    <t>BH000008</t>
  </si>
  <si>
    <t>2024-06</t>
  </si>
  <si>
    <t>High Risk</t>
  </si>
  <si>
    <t>BH000009</t>
  </si>
  <si>
    <t>2024-07</t>
  </si>
  <si>
    <t>BH000010</t>
  </si>
  <si>
    <t>Severe Risk</t>
  </si>
  <si>
    <t>EWS_ID</t>
  </si>
  <si>
    <t>EWS_Month</t>
  </si>
  <si>
    <t>DPD_Signal</t>
  </si>
  <si>
    <t>Payment_Signal</t>
  </si>
  <si>
    <t>Bounce_Signal</t>
  </si>
  <si>
    <t>Partial_Payment_Signal</t>
  </si>
  <si>
    <t>Trend_Signal</t>
  </si>
  <si>
    <t>Total_Signals</t>
  </si>
  <si>
    <t>EWS_Level</t>
  </si>
  <si>
    <t>Risk_Score</t>
  </si>
  <si>
    <t>Risk Band</t>
  </si>
  <si>
    <t>Collection_Priority</t>
  </si>
  <si>
    <t>Recommended_Action</t>
  </si>
  <si>
    <t>Risk_Reason</t>
  </si>
  <si>
    <t>Action_Reason</t>
  </si>
  <si>
    <t>EWS000001</t>
  </si>
  <si>
    <t>EWS000002</t>
  </si>
  <si>
    <t>EWS000003</t>
  </si>
  <si>
    <t>EWS000004</t>
  </si>
  <si>
    <t>EWS000005</t>
  </si>
  <si>
    <t>EWS000006</t>
  </si>
  <si>
    <t>EWS000007</t>
  </si>
  <si>
    <t>EWS000008</t>
  </si>
  <si>
    <t>EWS000009</t>
  </si>
  <si>
    <t>EWS000010</t>
  </si>
  <si>
    <t>Collection_ID</t>
  </si>
  <si>
    <t>Collection_Date</t>
  </si>
  <si>
    <t>Contact_Type</t>
  </si>
  <si>
    <t>Contact_Status</t>
  </si>
  <si>
    <t>Promise_to_Pay</t>
  </si>
  <si>
    <t>Promised_Amount</t>
  </si>
  <si>
    <t>Collected_Amount</t>
  </si>
  <si>
    <t>Collector_Remark</t>
  </si>
  <si>
    <t>COL000001</t>
  </si>
  <si>
    <t>SMS</t>
  </si>
  <si>
    <t>No Response</t>
  </si>
  <si>
    <t>No</t>
  </si>
  <si>
    <t>Reminder SMS sent</t>
  </si>
  <si>
    <t>COL000002</t>
  </si>
  <si>
    <t>Call</t>
  </si>
  <si>
    <t>Connected</t>
  </si>
  <si>
    <t>Yes</t>
  </si>
  <si>
    <t>Customer promised payment and paid</t>
  </si>
  <si>
    <t>COL000003</t>
  </si>
  <si>
    <t>Partial payment received</t>
  </si>
  <si>
    <t>COL000004</t>
  </si>
  <si>
    <t>Customer requested short extension</t>
  </si>
  <si>
    <t>COL000005</t>
  </si>
  <si>
    <t>Field Visit</t>
  </si>
  <si>
    <t>Customer unable to make full payment</t>
  </si>
  <si>
    <t>COL000006</t>
  </si>
  <si>
    <t>No Answer</t>
  </si>
  <si>
    <t>Follow-up call unanswered</t>
  </si>
  <si>
    <t>COL000007</t>
  </si>
  <si>
    <t>Promise to pay fulfilled</t>
  </si>
  <si>
    <t>COL000008</t>
  </si>
  <si>
    <t>WhatsApp</t>
  </si>
  <si>
    <t>COL000009</t>
  </si>
  <si>
    <t>Customer requested repayment discussion</t>
  </si>
  <si>
    <t>COL000010</t>
  </si>
  <si>
    <t>High-risk account; partial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</si>
</sst>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_ ;_ [$₹-4009]\ * \-#,##0_ ;_ [$₹-4009]\ * &quot;-&quot;_ ;_ @_ "/>
    <numFmt numFmtId="165" formatCode="yyyy\-mm\-dd;@"/>
    <numFmt numFmtId="166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 applyAlignment="1"/>
    <xf numFmtId="49" fontId="0" fillId="0" borderId="0" xfId="0" applyNumberFormat="1" applyAlignment="1"/>
    <xf numFmtId="164" fontId="1" fillId="0" borderId="0" xfId="0" applyNumberFormat="1" applyFont="1"/>
    <xf numFmtId="164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9" fontId="1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35">
    <dxf>
      <numFmt numFmtId="164" formatCode="_ [$₹-4009]\ * #,##0_ ;_ [$₹-4009]\ * \-#,##0_ ;_ [$₹-4009]\ * &quot;-&quot;_ ;_ @_ "/>
    </dxf>
    <dxf>
      <numFmt numFmtId="164" formatCode="_ [$₹-4009]\ * #,##0_ ;_ [$₹-4009]\ * \-#,##0_ ;_ [$₹-4009]\ * &quot;-&quot;_ ;_ @_ "/>
    </dxf>
    <dxf>
      <numFmt numFmtId="165" formatCode="yyyy\-mm\-dd;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64" formatCode="_ [$₹-4009]\ * #,##0_ ;_ [$₹-4009]\ * \-#,##0_ ;_ [$₹-4009]\ * &quot;-&quot;_ ;_ @_ "/>
    </dxf>
    <dxf>
      <numFmt numFmtId="164" formatCode="_ [$₹-4009]\ * #,##0_ ;_ [$₹-4009]\ * \-#,##0_ ;_ [$₹-4009]\ * &quot;-&quot;_ ;_ @_ "/>
    </dxf>
    <dxf>
      <numFmt numFmtId="165" formatCode="yyyy\-mm\-dd;@"/>
    </dxf>
    <dxf>
      <numFmt numFmtId="165" formatCode="yyyy\-mm\-dd;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 [$₹-4009]\ * #,##0_ ;_ [$₹-4009]\ * \-#,##0_ ;_ [$₹-4009]\ * &quot;-&quot;_ ;_ @_ "/>
    </dxf>
    <dxf>
      <numFmt numFmtId="164" formatCode="_ [$₹-4009]\ * #,##0_ ;_ [$₹-4009]\ * \-#,##0_ ;_ [$₹-4009]\ * &quot;-&quot;_ ;_ @_ "/>
    </dxf>
    <dxf>
      <numFmt numFmtId="1" formatCode="0"/>
    </dxf>
    <dxf>
      <numFmt numFmtId="166" formatCode="0.0%"/>
    </dxf>
    <dxf>
      <numFmt numFmtId="164" formatCode="_ [$₹-4009]\ * #,##0_ ;_ [$₹-4009]\ * \-#,##0_ ;_ [$₹-4009]\ * &quot;-&quot;_ ;_ @_ "/>
    </dxf>
    <dxf>
      <numFmt numFmtId="165" formatCode="yyyy\-mm\-dd;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yyyy\-mm\-dd;@"/>
    </dxf>
    <dxf>
      <numFmt numFmtId="164" formatCode="_ [$₹-4009]\ * #,##0_ ;_ [$₹-4009]\ * \-#,##0_ ;_ [$₹-4009]\ * &quot;-&quot;_ ;_ @_ "/>
    </dxf>
    <dxf>
      <numFmt numFmtId="1" formatCode="0"/>
    </dxf>
    <dxf>
      <numFmt numFmtId="30" formatCode="@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75A7C-E49B-4092-BE93-1A4FC32416DC}" name="tblCustomer" displayName="tblCustomer" ref="A1:J21" totalsRowShown="0" headerRowDxfId="34">
  <autoFilter ref="A1:J21" xr:uid="{AE475A7C-E49B-4092-BE93-1A4FC32416DC}"/>
  <tableColumns count="10">
    <tableColumn id="1" xr3:uid="{9BBB1550-768B-45E7-B872-F6C515AE06C9}" name="Customer_ID" dataDxfId="33"/>
    <tableColumn id="2" xr3:uid="{FCBE36E7-1ABF-4989-B511-852A72C2D4DD}" name="Customer_Name"/>
    <tableColumn id="3" xr3:uid="{245ED0EF-39DD-431F-98A9-D706528A0ABB}" name="Age" dataDxfId="32"/>
    <tableColumn id="4" xr3:uid="{AAA1F595-E1D2-46EE-AED8-697538F3273A}" name="Gender"/>
    <tableColumn id="5" xr3:uid="{C63C0FCF-F05C-49F4-BE34-45130EBA47D2}" name="Employment_Type"/>
    <tableColumn id="6" xr3:uid="{6F9CA293-3C24-4C46-BEBC-A1316041783F}" name="Monthly_Income" dataDxfId="31"/>
    <tableColumn id="7" xr3:uid="{A63457B6-FEBE-4695-B47D-C198BCFE5B24}" name="City"/>
    <tableColumn id="8" xr3:uid="{52AE2B8B-C258-4713-AA70-A57DC5F9EB12}" name="State"/>
    <tableColumn id="9" xr3:uid="{3A710EA2-5A0E-44D3-8D8E-59936898602F}" name="Customer_Segment"/>
    <tableColumn id="10" xr3:uid="{E46C5EE7-3037-422F-8FB6-42FF857681DE}" name="Customer_Since" dataDxfId="3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48A2CE-06A2-41F3-ABF2-64D6A18CC0D1}" name="tblLoan" displayName="tblLoan" ref="A1:L26" totalsRowShown="0" headerRowDxfId="29">
  <autoFilter ref="A1:L26" xr:uid="{3448A2CE-06A2-41F3-ABF2-64D6A18CC0D1}"/>
  <tableColumns count="12">
    <tableColumn id="1" xr3:uid="{11C5A734-D49D-48B8-90A8-F3194D5C2BF1}" name="Loan_ID" dataDxfId="28"/>
    <tableColumn id="2" xr3:uid="{78D193CB-AF8C-4E28-A5B7-48C5D7CBA24F}" name="Customer_ID"/>
    <tableColumn id="3" xr3:uid="{49CE9C51-FD6E-4D83-9347-F26DA1017134}" name="Loan_Product"/>
    <tableColumn id="4" xr3:uid="{0ACB799F-8DDB-4012-9DEE-6DD63CE60FC2}" name="Loan_Purpose"/>
    <tableColumn id="5" xr3:uid="{E6574B0E-4465-479D-91FA-D79E247D5591}" name="Disbursement_Date" dataDxfId="27"/>
    <tableColumn id="6" xr3:uid="{69453813-2670-4B7A-A170-6DCD9E3CB744}" name="Sanction_Amount" dataDxfId="26"/>
    <tableColumn id="7" xr3:uid="{36E2EC2D-FF49-4DFE-8BA9-7C9275E1FBA3}" name="Interest_Rate" dataDxfId="25"/>
    <tableColumn id="8" xr3:uid="{5CD77540-D9EF-40EF-A9CA-9052A4D131EE}" name="Tenure_Months" dataDxfId="24"/>
    <tableColumn id="11" xr3:uid="{7F61A43C-E0B9-432F-9E48-46F13AD7CDCE}" name="EMI_Amount" dataDxfId="23">
      <calculatedColumnFormula>PMT(G2/12,H2,-F2)</calculatedColumnFormula>
    </tableColumn>
    <tableColumn id="12" xr3:uid="{CD19C6D9-2475-4E0D-BD36-B905DB510483}" name="Outstanding_Amount" dataDxfId="22"/>
    <tableColumn id="9" xr3:uid="{8D249E38-DC8E-4BFB-859B-59DD60E4944B}" name="Loan_Status"/>
    <tableColumn id="10" xr3:uid="{9119FFD1-DA61-438C-886C-0B03B2D52F84}" name="Risk_Grad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BE4471-0156-44D5-9A6A-952A632A004B}" name="tblRepayment" displayName="tblRepayment" ref="A1:J21" totalsRowShown="0" headerRowDxfId="21">
  <autoFilter ref="A1:J21" xr:uid="{3ABE4471-0156-44D5-9A6A-952A632A004B}"/>
  <tableColumns count="10">
    <tableColumn id="1" xr3:uid="{1F9A6052-D38E-4360-A58C-EAB1619652F9}" name="Repayment_ID" dataDxfId="20"/>
    <tableColumn id="2" xr3:uid="{411F8016-6F5D-4D37-9845-430CB6F8D62F}" name="Loan_ID"/>
    <tableColumn id="3" xr3:uid="{876890B6-E515-4031-811D-4F96F9E72CB3}" name="Due_Date" dataDxfId="19"/>
    <tableColumn id="4" xr3:uid="{4F0EA3CF-5D3F-4D48-9836-A813411E4E09}" name="Payment_Date" dataDxfId="18"/>
    <tableColumn id="5" xr3:uid="{FE7BDDEA-6329-414D-BFE9-9A056C54776E}" name="Due_Amount" dataDxfId="17"/>
    <tableColumn id="6" xr3:uid="{BA44195D-3568-4CDD-8BAA-26FE8DA7B355}" name="Paid_Amount" dataDxfId="16"/>
    <tableColumn id="7" xr3:uid="{27427E21-3ECC-4A1E-86E8-3451DF9D8A9B}" name="DPD" dataDxfId="15"/>
    <tableColumn id="8" xr3:uid="{844D4204-60DB-4BE1-9707-3E283A4E271A}" name="Payment_Status"/>
    <tableColumn id="9" xr3:uid="{E5A3852E-C548-4295-891E-ACC5B692CB00}" name="Bounce_Flag"/>
    <tableColumn id="10" xr3:uid="{BDF069AB-B989-4E0F-8620-A8AF6637C59D}" name="Partial_Payment_Flag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1C8B99-EBD3-4CFA-B839-B863678A3EB2}" name="tblMonthlyBehaviour" displayName="tblMonthlyBehaviour" ref="A1:J11" totalsRowShown="0" headerRowDxfId="14">
  <autoFilter ref="A1:J11" xr:uid="{5A1C8B99-EBD3-4CFA-B839-B863678A3EB2}"/>
  <tableColumns count="10">
    <tableColumn id="1" xr3:uid="{00E358C8-C812-4B47-8CAF-55E0C0AEDD9C}" name="Behaviour_ID" dataDxfId="13"/>
    <tableColumn id="2" xr3:uid="{37204741-6FAC-4E6D-9B44-C621BEF37C8C}" name="Loan_ID"/>
    <tableColumn id="3" xr3:uid="{2AEF9ACF-CAF3-455F-8118-456EB44C9D70}" name="Behaviour_Month"/>
    <tableColumn id="4" xr3:uid="{253B8930-EB8A-4BD5-B311-1741445F111E}" name="Max_DPD"/>
    <tableColumn id="5" xr3:uid="{995C92AD-BB0C-444D-A1E1-9FE8A7451E22}" name="Avg_DPD"/>
    <tableColumn id="6" xr3:uid="{5709B31F-0626-456A-88C3-CB6F954CD073}" name="Payment_Ratio" dataDxfId="12"/>
    <tableColumn id="7" xr3:uid="{1FBCB0F0-60B8-4EBA-8B83-EC5A2D81D9F8}" name="Bounce_Count"/>
    <tableColumn id="8" xr3:uid="{164CAE74-AB74-4431-83AD-087406A8C4EF}" name="Partial_Payment_Count"/>
    <tableColumn id="9" xr3:uid="{EC1D95E0-5823-4306-BF76-67B8B206525F}" name="DPD_Trend"/>
    <tableColumn id="10" xr3:uid="{E8B2765D-280C-44A5-A135-30DBC9D00BB6}" name="Risk_Signal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B1B355-C072-49CD-A371-E0F6F22DACCD}" name="tblEWS" displayName="tblEWS" ref="A1:P11" totalsRowShown="0" headerRowDxfId="11">
  <autoFilter ref="A1:P11" xr:uid="{EEB1B355-C072-49CD-A371-E0F6F22DACCD}"/>
  <tableColumns count="16">
    <tableColumn id="1" xr3:uid="{EBB59291-4D23-4AFA-8D80-C596EAA5D1A3}" name="EWS_ID"/>
    <tableColumn id="2" xr3:uid="{BF621FE5-7EBC-4442-BFAE-CCAD07CF8298}" name="Loan_ID"/>
    <tableColumn id="3" xr3:uid="{D45F6BBF-4DD5-4145-B324-7D01CCC4C274}" name="EWS_Month"/>
    <tableColumn id="4" xr3:uid="{8D9344F9-702A-423E-8CFA-EA940D5B335D}" name="DPD_Signal"/>
    <tableColumn id="5" xr3:uid="{21A367A9-B0C5-4CF1-84D9-A1004A824832}" name="Payment_Signal"/>
    <tableColumn id="6" xr3:uid="{057D0447-7942-4A7E-AB46-04685A76F629}" name="Bounce_Signal"/>
    <tableColumn id="7" xr3:uid="{B44C81E2-0A24-44D1-9CD9-E9914372E7B9}" name="Partial_Payment_Signal"/>
    <tableColumn id="8" xr3:uid="{9E21ED80-664D-4E96-9E44-7C63CC49FB47}" name="Trend_Signal"/>
    <tableColumn id="9" xr3:uid="{496CFE1F-B654-4FD7-8F52-A34A7E38F3AA}" name="Total_Signals"/>
    <tableColumn id="10" xr3:uid="{35BD3F70-D64F-47CB-8031-6C451687EAA2}" name="EWS_Level"/>
    <tableColumn id="11" xr3:uid="{3546413B-0C27-4CDD-8BCB-8632F469BC4C}" name="Risk_Score" dataDxfId="10">
      <calculatedColumnFormula>D2*30+E2*20+F2*15+G2*15+H2*20</calculatedColumnFormula>
    </tableColumn>
    <tableColumn id="12" xr3:uid="{1C2A65E0-3FBF-436A-B95F-A91A7C818E0B}" name="Risk Band" dataDxfId="9">
      <calculatedColumnFormula>IF(K2&gt;=80,"Critical",IF(K2&gt;=60,"High",IF(K2&gt;=30,"Moderate","Low")))</calculatedColumnFormula>
    </tableColumn>
    <tableColumn id="13" xr3:uid="{F0E62B83-7673-4717-BA86-DBF334059E5F}" name="Collection_Priority" dataDxfId="8">
      <calculatedColumnFormula>IF(K2&gt;=80,"P1 - Immediate",IF(K2&gt;=60,"P2 - High",IF(K2&gt;=30,"P3 - Monitor","P4 - Routine")))</calculatedColumnFormula>
    </tableColumn>
    <tableColumn id="14" xr3:uid="{99499B00-67DE-4A9C-8ED0-22FC7B644CE2}" name="Recommended_Action" dataDxfId="7">
      <calculatedColumnFormula>IF(M2="P1 - Immediate","Immediate Collection Call",IF(M2="P2 - High","Priority Collection Follow-up",IF(M2="P3 - Monitor","Monitor &amp; Send Reminder","Routine Monitoring")))</calculatedColumnFormula>
    </tableColumn>
    <tableColumn id="15" xr3:uid="{4A09C8C5-D4E5-402B-9135-71D3D2949C75}" name="Risk_Reason" dataDxfId="6">
      <calculatedColumnFormula>IF(K2&gt;=80,"Multiple severe risk signals",IF(K2&gt;=60,"High DPD or payment stress",IF(K2&gt;=30,"Emerging repayment risk","No significant risk signal")))</calculatedColumnFormula>
    </tableColumn>
    <tableColumn id="16" xr3:uid="{18E1552E-E20A-4000-880B-205CA7F76D4B}" name="Action_Reason" dataDxfId="5">
      <calculatedColumnFormula>IF(M2="P1 - Immediate","High-risk borrower requires immediate collection intervention",IF(M2="P2 - High","Borrower shows significant repayment stress; prioritize follow-up",IF(M2="P3 - Monitor","Early warning indicators detected; monitor borrower closely","Borrower currently shows normal repayment behaviour")))</calculatedColumnFormula>
    </tableColumn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ABF56F-387E-49EB-8887-6969E73064BB}" name="tblCollectionActivity" displayName="tblCollectionActivity" ref="A1:I11" totalsRowShown="0" headerRowDxfId="4">
  <autoFilter ref="A1:I11" xr:uid="{B1ABF56F-387E-49EB-8887-6969E73064BB}"/>
  <tableColumns count="9">
    <tableColumn id="1" xr3:uid="{F5DF2299-18B6-472F-AC65-8F8B8A250F9C}" name="Collection_ID" dataDxfId="3"/>
    <tableColumn id="2" xr3:uid="{EAF059E5-FE84-48ED-8187-4FC596EF08DD}" name="Loan_ID"/>
    <tableColumn id="3" xr3:uid="{6CDA0945-7399-4C3A-AED2-7598DDE67FD9}" name="Collection_Date" dataDxfId="2"/>
    <tableColumn id="4" xr3:uid="{D75AFA42-83E6-4D63-9C0F-988A6B90B4BE}" name="Contact_Type"/>
    <tableColumn id="5" xr3:uid="{01F351A5-CF36-4E1C-9335-76091D1A8B70}" name="Contact_Status"/>
    <tableColumn id="6" xr3:uid="{72FEE07C-C700-4ADA-B3F5-7E42D872D9F2}" name="Promise_to_Pay"/>
    <tableColumn id="7" xr3:uid="{3CC8DDEF-5660-4E33-AAF6-CE10EF96C43F}" name="Promised_Amount" dataDxfId="1"/>
    <tableColumn id="8" xr3:uid="{FC231A23-BA21-4067-8E36-02850960D2AD}" name="Collected_Amount" dataDxfId="0"/>
    <tableColumn id="9" xr3:uid="{06B71116-6D6C-4613-B658-73020BAA05F5}" name="Collector_Remar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pane xSplit="7" topLeftCell="H1" activePane="topRight" state="frozen"/>
      <selection pane="topRight" activeCell="N8" sqref="N8"/>
    </sheetView>
  </sheetViews>
  <sheetFormatPr defaultRowHeight="15"/>
  <cols>
    <col min="1" max="1" width="15" style="3" bestFit="1" customWidth="1"/>
    <col min="2" max="2" width="18.5703125" bestFit="1" customWidth="1"/>
    <col min="3" max="3" width="9.140625" style="7"/>
    <col min="4" max="4" width="10" bestFit="1" customWidth="1"/>
    <col min="5" max="5" width="20.42578125" bestFit="1" customWidth="1"/>
    <col min="6" max="6" width="20" style="5" bestFit="1" customWidth="1"/>
    <col min="7" max="7" width="11.7109375" bestFit="1" customWidth="1"/>
    <col min="8" max="8" width="15.85546875" bestFit="1" customWidth="1"/>
    <col min="9" max="9" width="21.28515625" bestFit="1" customWidth="1"/>
    <col min="10" max="10" width="17.85546875" style="9" bestFit="1" customWidth="1"/>
    <col min="12" max="12" width="11.140625" bestFit="1" customWidth="1"/>
  </cols>
  <sheetData>
    <row r="1" spans="1:10">
      <c r="A1" s="2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8" t="s">
        <v>9</v>
      </c>
    </row>
    <row r="2" spans="1:10">
      <c r="A2" s="3" t="s">
        <v>10</v>
      </c>
      <c r="B2" t="s">
        <v>11</v>
      </c>
      <c r="C2" s="7">
        <v>28</v>
      </c>
      <c r="D2" t="s">
        <v>12</v>
      </c>
      <c r="E2" t="s">
        <v>13</v>
      </c>
      <c r="F2" s="5">
        <v>42000</v>
      </c>
      <c r="G2" t="s">
        <v>14</v>
      </c>
      <c r="H2" t="s">
        <v>15</v>
      </c>
      <c r="I2" t="s">
        <v>16</v>
      </c>
      <c r="J2" s="9">
        <v>44666</v>
      </c>
    </row>
    <row r="3" spans="1:10">
      <c r="A3" s="3" t="s">
        <v>17</v>
      </c>
      <c r="B3" t="s">
        <v>18</v>
      </c>
      <c r="C3" s="7">
        <v>35</v>
      </c>
      <c r="D3" t="s">
        <v>19</v>
      </c>
      <c r="E3" t="s">
        <v>13</v>
      </c>
      <c r="F3" s="5">
        <v>68000</v>
      </c>
      <c r="G3" t="s">
        <v>20</v>
      </c>
      <c r="H3" t="s">
        <v>20</v>
      </c>
      <c r="I3" t="s">
        <v>21</v>
      </c>
      <c r="J3" s="9">
        <v>44430</v>
      </c>
    </row>
    <row r="4" spans="1:10">
      <c r="A4" s="3" t="s">
        <v>22</v>
      </c>
      <c r="B4" t="s">
        <v>23</v>
      </c>
      <c r="C4" s="7">
        <v>42</v>
      </c>
      <c r="D4" t="s">
        <v>12</v>
      </c>
      <c r="E4" t="s">
        <v>24</v>
      </c>
      <c r="F4" s="5">
        <v>95000</v>
      </c>
      <c r="G4" t="s">
        <v>25</v>
      </c>
      <c r="H4" t="s">
        <v>26</v>
      </c>
      <c r="I4" t="s">
        <v>21</v>
      </c>
      <c r="J4" s="9">
        <v>44145</v>
      </c>
    </row>
    <row r="5" spans="1:10">
      <c r="A5" s="3" t="s">
        <v>27</v>
      </c>
      <c r="B5" t="s">
        <v>28</v>
      </c>
      <c r="C5" s="7">
        <v>31</v>
      </c>
      <c r="D5" t="s">
        <v>19</v>
      </c>
      <c r="E5" t="s">
        <v>29</v>
      </c>
      <c r="F5" s="5">
        <v>52000</v>
      </c>
      <c r="G5" t="s">
        <v>30</v>
      </c>
      <c r="H5" t="s">
        <v>31</v>
      </c>
      <c r="I5" t="s">
        <v>16</v>
      </c>
      <c r="J5" s="9">
        <v>44944</v>
      </c>
    </row>
    <row r="6" spans="1:10">
      <c r="A6" s="3" t="s">
        <v>32</v>
      </c>
      <c r="B6" t="s">
        <v>33</v>
      </c>
      <c r="C6" s="7">
        <v>47</v>
      </c>
      <c r="D6" t="s">
        <v>12</v>
      </c>
      <c r="E6" t="s">
        <v>24</v>
      </c>
      <c r="F6" s="5">
        <v>145000</v>
      </c>
      <c r="G6" t="s">
        <v>34</v>
      </c>
      <c r="H6" t="s">
        <v>35</v>
      </c>
      <c r="I6" t="s">
        <v>36</v>
      </c>
      <c r="J6" s="9">
        <v>43641</v>
      </c>
    </row>
    <row r="7" spans="1:10">
      <c r="A7" s="3" t="s">
        <v>37</v>
      </c>
      <c r="B7" t="s">
        <v>38</v>
      </c>
      <c r="C7" s="7">
        <v>26</v>
      </c>
      <c r="D7" t="s">
        <v>19</v>
      </c>
      <c r="E7" t="s">
        <v>13</v>
      </c>
      <c r="F7" s="5">
        <v>35000</v>
      </c>
      <c r="G7" t="s">
        <v>39</v>
      </c>
      <c r="H7" t="s">
        <v>15</v>
      </c>
      <c r="I7" t="s">
        <v>16</v>
      </c>
      <c r="J7" s="9">
        <v>45116</v>
      </c>
    </row>
    <row r="8" spans="1:10">
      <c r="A8" s="3" t="s">
        <v>40</v>
      </c>
      <c r="B8" t="s">
        <v>41</v>
      </c>
      <c r="C8" s="7">
        <v>39</v>
      </c>
      <c r="D8" t="s">
        <v>12</v>
      </c>
      <c r="E8" t="s">
        <v>13</v>
      </c>
      <c r="F8" s="5">
        <v>82000</v>
      </c>
      <c r="G8" t="s">
        <v>42</v>
      </c>
      <c r="H8" t="s">
        <v>31</v>
      </c>
      <c r="I8" t="s">
        <v>21</v>
      </c>
      <c r="J8" s="9">
        <v>44269</v>
      </c>
    </row>
    <row r="9" spans="1:10">
      <c r="A9" s="3" t="s">
        <v>43</v>
      </c>
      <c r="B9" t="s">
        <v>44</v>
      </c>
      <c r="C9" s="7">
        <v>33</v>
      </c>
      <c r="D9" t="s">
        <v>19</v>
      </c>
      <c r="E9" t="s">
        <v>29</v>
      </c>
      <c r="F9" s="5">
        <v>61000</v>
      </c>
      <c r="G9" t="s">
        <v>14</v>
      </c>
      <c r="H9" t="s">
        <v>15</v>
      </c>
      <c r="I9" t="s">
        <v>21</v>
      </c>
      <c r="J9" s="9">
        <v>44807</v>
      </c>
    </row>
    <row r="10" spans="1:10">
      <c r="A10" s="3" t="s">
        <v>45</v>
      </c>
      <c r="B10" t="s">
        <v>46</v>
      </c>
      <c r="C10" s="7">
        <v>52</v>
      </c>
      <c r="D10" t="s">
        <v>12</v>
      </c>
      <c r="E10" t="s">
        <v>24</v>
      </c>
      <c r="F10" s="5">
        <v>210000</v>
      </c>
      <c r="G10" t="s">
        <v>47</v>
      </c>
      <c r="H10" t="s">
        <v>48</v>
      </c>
      <c r="I10" t="s">
        <v>36</v>
      </c>
      <c r="J10" s="9">
        <v>43451</v>
      </c>
    </row>
    <row r="11" spans="1:10">
      <c r="A11" s="3" t="s">
        <v>49</v>
      </c>
      <c r="B11" t="s">
        <v>50</v>
      </c>
      <c r="C11" s="7">
        <v>29</v>
      </c>
      <c r="D11" t="s">
        <v>19</v>
      </c>
      <c r="E11" t="s">
        <v>13</v>
      </c>
      <c r="F11" s="5">
        <v>47000</v>
      </c>
      <c r="G11" t="s">
        <v>51</v>
      </c>
      <c r="H11" t="s">
        <v>15</v>
      </c>
      <c r="I11" t="s">
        <v>16</v>
      </c>
      <c r="J11" s="9">
        <v>45074</v>
      </c>
    </row>
    <row r="12" spans="1:10">
      <c r="A12" s="3" t="s">
        <v>52</v>
      </c>
      <c r="B12" t="s">
        <v>53</v>
      </c>
      <c r="C12" s="7">
        <v>44</v>
      </c>
      <c r="D12" t="s">
        <v>12</v>
      </c>
      <c r="E12" t="s">
        <v>29</v>
      </c>
      <c r="F12" s="5">
        <v>78000</v>
      </c>
      <c r="G12" t="s">
        <v>54</v>
      </c>
      <c r="H12" t="s">
        <v>55</v>
      </c>
      <c r="I12" t="s">
        <v>21</v>
      </c>
      <c r="J12" s="9">
        <v>43872</v>
      </c>
    </row>
    <row r="13" spans="1:10">
      <c r="A13" s="3" t="s">
        <v>56</v>
      </c>
      <c r="B13" t="s">
        <v>57</v>
      </c>
      <c r="C13" s="7">
        <v>36</v>
      </c>
      <c r="D13" t="s">
        <v>19</v>
      </c>
      <c r="E13" t="s">
        <v>13</v>
      </c>
      <c r="F13" s="5">
        <v>58000</v>
      </c>
      <c r="G13" t="s">
        <v>58</v>
      </c>
      <c r="H13" t="s">
        <v>59</v>
      </c>
      <c r="I13" t="s">
        <v>21</v>
      </c>
      <c r="J13" s="9">
        <v>44475</v>
      </c>
    </row>
    <row r="14" spans="1:10">
      <c r="A14" s="3" t="s">
        <v>60</v>
      </c>
      <c r="B14" t="s">
        <v>61</v>
      </c>
      <c r="C14" s="7">
        <v>41</v>
      </c>
      <c r="D14" t="s">
        <v>12</v>
      </c>
      <c r="E14" t="s">
        <v>24</v>
      </c>
      <c r="F14" s="5">
        <v>125000</v>
      </c>
      <c r="G14" t="s">
        <v>62</v>
      </c>
      <c r="H14" t="s">
        <v>35</v>
      </c>
      <c r="I14" t="s">
        <v>36</v>
      </c>
      <c r="J14" s="9">
        <v>43727</v>
      </c>
    </row>
    <row r="15" spans="1:10">
      <c r="A15" s="3" t="s">
        <v>63</v>
      </c>
      <c r="B15" t="s">
        <v>64</v>
      </c>
      <c r="C15" s="7">
        <v>24</v>
      </c>
      <c r="D15" t="s">
        <v>19</v>
      </c>
      <c r="E15" t="s">
        <v>13</v>
      </c>
      <c r="F15" s="5">
        <v>29000</v>
      </c>
      <c r="G15" t="s">
        <v>65</v>
      </c>
      <c r="H15" t="s">
        <v>66</v>
      </c>
      <c r="I15" t="s">
        <v>16</v>
      </c>
      <c r="J15" s="9">
        <v>45303</v>
      </c>
    </row>
    <row r="16" spans="1:10">
      <c r="A16" s="3" t="s">
        <v>67</v>
      </c>
      <c r="B16" t="s">
        <v>68</v>
      </c>
      <c r="C16" s="7">
        <v>49</v>
      </c>
      <c r="D16" t="s">
        <v>12</v>
      </c>
      <c r="E16" t="s">
        <v>24</v>
      </c>
      <c r="F16" s="5">
        <v>175000</v>
      </c>
      <c r="G16" t="s">
        <v>69</v>
      </c>
      <c r="H16" t="s">
        <v>70</v>
      </c>
      <c r="I16" t="s">
        <v>36</v>
      </c>
      <c r="J16" s="9">
        <v>43243</v>
      </c>
    </row>
    <row r="17" spans="1:10">
      <c r="A17" s="3" t="s">
        <v>71</v>
      </c>
      <c r="B17" t="s">
        <v>72</v>
      </c>
      <c r="C17" s="7">
        <v>32</v>
      </c>
      <c r="D17" t="s">
        <v>19</v>
      </c>
      <c r="E17" t="s">
        <v>29</v>
      </c>
      <c r="F17" s="5">
        <v>49000</v>
      </c>
      <c r="G17" t="s">
        <v>73</v>
      </c>
      <c r="H17" t="s">
        <v>15</v>
      </c>
      <c r="I17" t="s">
        <v>16</v>
      </c>
      <c r="J17" s="9">
        <v>44896</v>
      </c>
    </row>
    <row r="18" spans="1:10">
      <c r="A18" s="3" t="s">
        <v>74</v>
      </c>
      <c r="B18" t="s">
        <v>75</v>
      </c>
      <c r="C18" s="7">
        <v>38</v>
      </c>
      <c r="D18" t="s">
        <v>12</v>
      </c>
      <c r="E18" t="s">
        <v>13</v>
      </c>
      <c r="F18" s="5">
        <v>72000</v>
      </c>
      <c r="G18" t="s">
        <v>76</v>
      </c>
      <c r="H18" t="s">
        <v>77</v>
      </c>
      <c r="I18" t="s">
        <v>21</v>
      </c>
      <c r="J18" s="9">
        <v>44377</v>
      </c>
    </row>
    <row r="19" spans="1:10">
      <c r="A19" s="3" t="s">
        <v>78</v>
      </c>
      <c r="B19" t="s">
        <v>79</v>
      </c>
      <c r="C19" s="7">
        <v>27</v>
      </c>
      <c r="D19" t="s">
        <v>19</v>
      </c>
      <c r="E19" t="s">
        <v>13</v>
      </c>
      <c r="F19" s="5">
        <v>38000</v>
      </c>
      <c r="G19" t="s">
        <v>80</v>
      </c>
      <c r="H19" t="s">
        <v>81</v>
      </c>
      <c r="I19" t="s">
        <v>16</v>
      </c>
      <c r="J19" s="9">
        <v>45001</v>
      </c>
    </row>
    <row r="20" spans="1:10">
      <c r="A20" s="3" t="s">
        <v>82</v>
      </c>
      <c r="B20" t="s">
        <v>83</v>
      </c>
      <c r="C20" s="7">
        <v>55</v>
      </c>
      <c r="D20" t="s">
        <v>12</v>
      </c>
      <c r="E20" t="s">
        <v>24</v>
      </c>
      <c r="F20" s="5">
        <v>260000</v>
      </c>
      <c r="G20" t="s">
        <v>20</v>
      </c>
      <c r="H20" t="s">
        <v>20</v>
      </c>
      <c r="I20" t="s">
        <v>36</v>
      </c>
      <c r="J20" s="9">
        <v>43047</v>
      </c>
    </row>
    <row r="21" spans="1:10">
      <c r="A21" s="3" t="s">
        <v>84</v>
      </c>
      <c r="B21" t="s">
        <v>85</v>
      </c>
      <c r="C21" s="7">
        <v>34</v>
      </c>
      <c r="D21" t="s">
        <v>19</v>
      </c>
      <c r="E21" t="s">
        <v>29</v>
      </c>
      <c r="F21" s="5">
        <v>65000</v>
      </c>
      <c r="G21" t="s">
        <v>86</v>
      </c>
      <c r="H21" t="s">
        <v>81</v>
      </c>
      <c r="I21" t="s">
        <v>21</v>
      </c>
      <c r="J21" s="9">
        <v>44763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5EE0-4A9F-405B-AA8C-437407D7AA5C}">
  <dimension ref="A1:L26"/>
  <sheetViews>
    <sheetView workbookViewId="0">
      <selection activeCell="P8" sqref="P8"/>
    </sheetView>
  </sheetViews>
  <sheetFormatPr defaultRowHeight="15"/>
  <cols>
    <col min="1" max="1" width="10.7109375" style="11" bestFit="1" customWidth="1"/>
    <col min="2" max="2" width="15" bestFit="1" customWidth="1"/>
    <col min="3" max="3" width="19.7109375" bestFit="1" customWidth="1"/>
    <col min="4" max="4" width="19" bestFit="1" customWidth="1"/>
    <col min="5" max="5" width="30.7109375" style="9" bestFit="1" customWidth="1"/>
    <col min="6" max="6" width="20.7109375" style="5" bestFit="1" customWidth="1"/>
    <col min="7" max="7" width="15.7109375" style="13" bestFit="1" customWidth="1"/>
    <col min="8" max="8" width="17.85546875" style="7" bestFit="1" customWidth="1"/>
    <col min="9" max="9" width="16.28515625" style="5" bestFit="1" customWidth="1"/>
    <col min="10" max="10" width="23" bestFit="1" customWidth="1"/>
    <col min="11" max="11" width="14.28515625" bestFit="1" customWidth="1"/>
    <col min="12" max="12" width="13.5703125" bestFit="1" customWidth="1"/>
  </cols>
  <sheetData>
    <row r="1" spans="1:12">
      <c r="A1" s="10" t="s">
        <v>87</v>
      </c>
      <c r="B1" s="1" t="s">
        <v>0</v>
      </c>
      <c r="C1" s="1" t="s">
        <v>88</v>
      </c>
      <c r="D1" s="1" t="s">
        <v>89</v>
      </c>
      <c r="E1" s="8" t="s">
        <v>90</v>
      </c>
      <c r="F1" s="4" t="s">
        <v>91</v>
      </c>
      <c r="G1" s="12" t="s">
        <v>92</v>
      </c>
      <c r="H1" s="6" t="s">
        <v>93</v>
      </c>
      <c r="I1" s="4" t="s">
        <v>94</v>
      </c>
      <c r="J1" s="1" t="s">
        <v>95</v>
      </c>
      <c r="K1" s="1" t="s">
        <v>96</v>
      </c>
      <c r="L1" s="1" t="s">
        <v>97</v>
      </c>
    </row>
    <row r="2" spans="1:12">
      <c r="A2" s="11" t="s">
        <v>98</v>
      </c>
      <c r="B2" t="s">
        <v>10</v>
      </c>
      <c r="C2" t="s">
        <v>99</v>
      </c>
      <c r="D2" t="s">
        <v>100</v>
      </c>
      <c r="E2" s="9">
        <v>45306</v>
      </c>
      <c r="F2" s="5">
        <v>250000</v>
      </c>
      <c r="G2" s="13">
        <v>0.14499999999999999</v>
      </c>
      <c r="H2" s="7">
        <v>36</v>
      </c>
      <c r="I2" s="5">
        <f>PMT(G2/12,H2,-F2)</f>
        <v>8605.2443607034347</v>
      </c>
      <c r="K2" t="s">
        <v>101</v>
      </c>
      <c r="L2" t="s">
        <v>102</v>
      </c>
    </row>
    <row r="3" spans="1:12">
      <c r="A3" s="11" t="s">
        <v>103</v>
      </c>
      <c r="B3" t="s">
        <v>10</v>
      </c>
      <c r="C3" t="s">
        <v>104</v>
      </c>
      <c r="D3" t="s">
        <v>105</v>
      </c>
      <c r="E3" s="9">
        <v>45514</v>
      </c>
      <c r="F3" s="5">
        <v>85000</v>
      </c>
      <c r="G3" s="13">
        <v>0.16</v>
      </c>
      <c r="H3" s="7">
        <v>18</v>
      </c>
      <c r="I3" s="5">
        <f>PMT(G3/12,H3,-F3)</f>
        <v>5342.7964568423977</v>
      </c>
      <c r="K3" t="s">
        <v>101</v>
      </c>
      <c r="L3" t="s">
        <v>102</v>
      </c>
    </row>
    <row r="4" spans="1:12">
      <c r="A4" s="11" t="s">
        <v>106</v>
      </c>
      <c r="B4" t="s">
        <v>17</v>
      </c>
      <c r="C4" t="s">
        <v>99</v>
      </c>
      <c r="D4" t="s">
        <v>107</v>
      </c>
      <c r="E4" s="9">
        <v>45342</v>
      </c>
      <c r="F4" s="5">
        <v>400000</v>
      </c>
      <c r="G4" s="13">
        <v>0.13750000000000001</v>
      </c>
      <c r="H4" s="7">
        <v>48</v>
      </c>
      <c r="I4" s="5">
        <f>PMT(G4/12,H4,-F4)</f>
        <v>10880.493656457722</v>
      </c>
      <c r="K4" t="s">
        <v>101</v>
      </c>
      <c r="L4" t="s">
        <v>108</v>
      </c>
    </row>
    <row r="5" spans="1:12">
      <c r="A5" s="11" t="s">
        <v>109</v>
      </c>
      <c r="B5" t="s">
        <v>22</v>
      </c>
      <c r="C5" t="s">
        <v>110</v>
      </c>
      <c r="D5" t="s">
        <v>111</v>
      </c>
      <c r="E5" s="9">
        <v>45316</v>
      </c>
      <c r="F5" s="5">
        <v>1200000</v>
      </c>
      <c r="G5" s="13">
        <v>0.1525</v>
      </c>
      <c r="H5" s="7">
        <v>48</v>
      </c>
      <c r="I5" s="5">
        <f>PMT(G5/12,H5,-F5)</f>
        <v>33549.167307366224</v>
      </c>
      <c r="K5" t="s">
        <v>101</v>
      </c>
      <c r="L5" t="s">
        <v>102</v>
      </c>
    </row>
    <row r="6" spans="1:12">
      <c r="A6" s="11" t="s">
        <v>112</v>
      </c>
      <c r="B6" t="s">
        <v>22</v>
      </c>
      <c r="C6" t="s">
        <v>99</v>
      </c>
      <c r="D6" t="s">
        <v>100</v>
      </c>
      <c r="E6" s="9">
        <v>45728</v>
      </c>
      <c r="F6" s="5">
        <v>500000</v>
      </c>
      <c r="G6" s="13">
        <v>0.14249999999999999</v>
      </c>
      <c r="H6" s="7">
        <v>36</v>
      </c>
      <c r="I6" s="5">
        <f>PMT(G6/12,H6,-F6)</f>
        <v>17149.589029925351</v>
      </c>
      <c r="K6" t="s">
        <v>101</v>
      </c>
      <c r="L6" t="s">
        <v>102</v>
      </c>
    </row>
    <row r="7" spans="1:12">
      <c r="A7" s="11" t="s">
        <v>113</v>
      </c>
      <c r="B7" t="s">
        <v>27</v>
      </c>
      <c r="C7" t="s">
        <v>104</v>
      </c>
      <c r="D7" t="s">
        <v>105</v>
      </c>
      <c r="E7" s="9">
        <v>45430</v>
      </c>
      <c r="F7" s="5">
        <v>65000</v>
      </c>
      <c r="G7" s="13">
        <v>0.17</v>
      </c>
      <c r="H7" s="7">
        <v>12</v>
      </c>
      <c r="I7" s="5">
        <f>PMT(G7/12,H7,-F7)</f>
        <v>5928.3088850944841</v>
      </c>
      <c r="K7" t="s">
        <v>114</v>
      </c>
      <c r="L7" t="s">
        <v>115</v>
      </c>
    </row>
    <row r="8" spans="1:12">
      <c r="A8" s="11" t="s">
        <v>116</v>
      </c>
      <c r="B8" t="s">
        <v>32</v>
      </c>
      <c r="C8" t="s">
        <v>110</v>
      </c>
      <c r="D8" t="s">
        <v>117</v>
      </c>
      <c r="E8" s="9">
        <v>45356</v>
      </c>
      <c r="F8" s="5">
        <v>2000000</v>
      </c>
      <c r="G8" s="13">
        <v>0.14749999999999999</v>
      </c>
      <c r="H8" s="7">
        <v>60</v>
      </c>
      <c r="I8" s="5">
        <f>PMT(G8/12,H8,-F8)</f>
        <v>47317.807314490681</v>
      </c>
      <c r="K8" t="s">
        <v>101</v>
      </c>
      <c r="L8" t="s">
        <v>108</v>
      </c>
    </row>
    <row r="9" spans="1:12">
      <c r="A9" s="11" t="s">
        <v>118</v>
      </c>
      <c r="B9" t="s">
        <v>37</v>
      </c>
      <c r="C9" t="s">
        <v>99</v>
      </c>
      <c r="D9" t="s">
        <v>119</v>
      </c>
      <c r="E9" s="9">
        <v>45465</v>
      </c>
      <c r="F9" s="5">
        <v>180000</v>
      </c>
      <c r="G9" s="13">
        <v>0.155</v>
      </c>
      <c r="H9" s="7">
        <v>24</v>
      </c>
      <c r="I9" s="5">
        <f>PMT(G9/12,H9,-F9)</f>
        <v>8770.4176461404568</v>
      </c>
      <c r="K9" t="s">
        <v>101</v>
      </c>
      <c r="L9" t="s">
        <v>115</v>
      </c>
    </row>
    <row r="10" spans="1:12">
      <c r="A10" s="11" t="s">
        <v>120</v>
      </c>
      <c r="B10" t="s">
        <v>40</v>
      </c>
      <c r="C10" t="s">
        <v>99</v>
      </c>
      <c r="D10" t="s">
        <v>121</v>
      </c>
      <c r="E10" s="9">
        <v>45336</v>
      </c>
      <c r="F10" s="5">
        <v>350000</v>
      </c>
      <c r="G10" s="13">
        <v>0.13950000000000001</v>
      </c>
      <c r="H10" s="7">
        <v>36</v>
      </c>
      <c r="I10" s="5">
        <f>PMT(G10/12,H10,-F10)</f>
        <v>11953.672586808811</v>
      </c>
      <c r="K10" t="s">
        <v>101</v>
      </c>
      <c r="L10" t="s">
        <v>108</v>
      </c>
    </row>
    <row r="11" spans="1:12">
      <c r="A11" s="11" t="s">
        <v>122</v>
      </c>
      <c r="B11" t="s">
        <v>43</v>
      </c>
      <c r="C11" t="s">
        <v>110</v>
      </c>
      <c r="D11" t="s">
        <v>111</v>
      </c>
      <c r="E11" s="9">
        <v>45390</v>
      </c>
      <c r="F11" s="5">
        <v>750000</v>
      </c>
      <c r="G11" s="13">
        <v>0.1575</v>
      </c>
      <c r="H11" s="7">
        <v>36</v>
      </c>
      <c r="I11" s="5">
        <f>PMT(G11/12,H11,-F11)</f>
        <v>26275.299161938685</v>
      </c>
      <c r="K11" t="s">
        <v>101</v>
      </c>
      <c r="L11" t="s">
        <v>102</v>
      </c>
    </row>
    <row r="12" spans="1:12">
      <c r="A12" s="11" t="s">
        <v>123</v>
      </c>
      <c r="B12" t="s">
        <v>45</v>
      </c>
      <c r="C12" t="s">
        <v>110</v>
      </c>
      <c r="D12" t="s">
        <v>117</v>
      </c>
      <c r="E12" s="9">
        <v>45321</v>
      </c>
      <c r="F12" s="5">
        <v>2500000</v>
      </c>
      <c r="G12" s="13">
        <v>0.13500000000000001</v>
      </c>
      <c r="H12" s="7">
        <v>60</v>
      </c>
      <c r="I12" s="5">
        <f>PMT(G12/12,H12,-F12)</f>
        <v>57524.615042217578</v>
      </c>
      <c r="K12" t="s">
        <v>101</v>
      </c>
      <c r="L12" t="s">
        <v>108</v>
      </c>
    </row>
    <row r="13" spans="1:12">
      <c r="A13" s="11" t="s">
        <v>124</v>
      </c>
      <c r="B13" t="s">
        <v>49</v>
      </c>
      <c r="C13" t="s">
        <v>104</v>
      </c>
      <c r="D13" t="s">
        <v>105</v>
      </c>
      <c r="E13" s="9">
        <v>45488</v>
      </c>
      <c r="F13" s="5">
        <v>95000</v>
      </c>
      <c r="G13" s="13">
        <v>0.16500000000000001</v>
      </c>
      <c r="H13" s="7">
        <v>18</v>
      </c>
      <c r="I13" s="5">
        <f>PMT(G13/12,H13,-F13)</f>
        <v>5993.8358704381599</v>
      </c>
      <c r="K13" t="s">
        <v>101</v>
      </c>
      <c r="L13" t="s">
        <v>102</v>
      </c>
    </row>
    <row r="14" spans="1:12">
      <c r="A14" s="11" t="s">
        <v>125</v>
      </c>
      <c r="B14" t="s">
        <v>52</v>
      </c>
      <c r="C14" t="s">
        <v>99</v>
      </c>
      <c r="D14" t="s">
        <v>100</v>
      </c>
      <c r="E14" s="9">
        <v>45373</v>
      </c>
      <c r="F14" s="5">
        <v>300000</v>
      </c>
      <c r="G14" s="13">
        <v>0.14749999999999999</v>
      </c>
      <c r="H14" s="7">
        <v>36</v>
      </c>
      <c r="I14" s="5">
        <f>PMT(G14/12,H14,-F14)</f>
        <v>10362.908301161297</v>
      </c>
      <c r="K14" t="s">
        <v>101</v>
      </c>
      <c r="L14" t="s">
        <v>102</v>
      </c>
    </row>
    <row r="15" spans="1:12">
      <c r="A15" s="11" t="s">
        <v>126</v>
      </c>
      <c r="B15" t="s">
        <v>56</v>
      </c>
      <c r="C15" t="s">
        <v>99</v>
      </c>
      <c r="D15" t="s">
        <v>107</v>
      </c>
      <c r="E15" s="9">
        <v>45422</v>
      </c>
      <c r="F15" s="5">
        <v>450000</v>
      </c>
      <c r="G15" s="13">
        <v>0.13900000000000001</v>
      </c>
      <c r="H15" s="7">
        <v>48</v>
      </c>
      <c r="I15" s="5">
        <f>PMT(G15/12,H15,-F15)</f>
        <v>12274.352929313096</v>
      </c>
      <c r="K15" t="s">
        <v>101</v>
      </c>
      <c r="L15" t="s">
        <v>108</v>
      </c>
    </row>
    <row r="16" spans="1:12">
      <c r="A16" s="11" t="s">
        <v>127</v>
      </c>
      <c r="B16" t="s">
        <v>60</v>
      </c>
      <c r="C16" t="s">
        <v>110</v>
      </c>
      <c r="D16" t="s">
        <v>111</v>
      </c>
      <c r="E16" s="9">
        <v>45327</v>
      </c>
      <c r="F16" s="5">
        <v>1500000</v>
      </c>
      <c r="G16" s="13">
        <v>0.14499999999999999</v>
      </c>
      <c r="H16" s="7">
        <v>48</v>
      </c>
      <c r="I16" s="5">
        <f>PMT(G16/12,H16,-F16)</f>
        <v>41366.929277232826</v>
      </c>
      <c r="K16" t="s">
        <v>101</v>
      </c>
      <c r="L16" t="s">
        <v>102</v>
      </c>
    </row>
    <row r="17" spans="1:12">
      <c r="A17" s="11" t="s">
        <v>128</v>
      </c>
      <c r="B17" t="s">
        <v>63</v>
      </c>
      <c r="C17" t="s">
        <v>104</v>
      </c>
      <c r="D17" t="s">
        <v>105</v>
      </c>
      <c r="E17" s="9">
        <v>45553</v>
      </c>
      <c r="F17" s="5">
        <v>55000</v>
      </c>
      <c r="G17" s="13">
        <v>0.17249999999999999</v>
      </c>
      <c r="H17" s="7">
        <v>12</v>
      </c>
      <c r="I17" s="5">
        <f>PMT(G17/12,H17,-F17)</f>
        <v>5022.7889867722542</v>
      </c>
      <c r="K17" t="s">
        <v>101</v>
      </c>
      <c r="L17" t="s">
        <v>115</v>
      </c>
    </row>
    <row r="18" spans="1:12">
      <c r="A18" s="11" t="s">
        <v>129</v>
      </c>
      <c r="B18" t="s">
        <v>67</v>
      </c>
      <c r="C18" t="s">
        <v>110</v>
      </c>
      <c r="D18" t="s">
        <v>117</v>
      </c>
      <c r="E18" s="9">
        <v>45303</v>
      </c>
      <c r="F18" s="5">
        <v>3000000</v>
      </c>
      <c r="G18" s="13">
        <v>0.13250000000000001</v>
      </c>
      <c r="H18" s="7">
        <v>60</v>
      </c>
      <c r="I18" s="5">
        <f>PMT(G18/12,H18,-F18)</f>
        <v>68643.765452270876</v>
      </c>
      <c r="K18" t="s">
        <v>101</v>
      </c>
      <c r="L18" t="s">
        <v>108</v>
      </c>
    </row>
    <row r="19" spans="1:12">
      <c r="A19" s="11" t="s">
        <v>130</v>
      </c>
      <c r="B19" t="s">
        <v>71</v>
      </c>
      <c r="C19" t="s">
        <v>99</v>
      </c>
      <c r="D19" t="s">
        <v>100</v>
      </c>
      <c r="E19" s="9">
        <v>45402</v>
      </c>
      <c r="F19" s="5">
        <v>220000</v>
      </c>
      <c r="G19" s="13">
        <v>0.15</v>
      </c>
      <c r="H19" s="7">
        <v>36</v>
      </c>
      <c r="I19" s="5">
        <f>PMT(G19/12,H19,-F19)</f>
        <v>7626.3722709227086</v>
      </c>
      <c r="K19" t="s">
        <v>101</v>
      </c>
      <c r="L19" t="s">
        <v>102</v>
      </c>
    </row>
    <row r="20" spans="1:12">
      <c r="A20" s="11" t="s">
        <v>131</v>
      </c>
      <c r="B20" t="s">
        <v>74</v>
      </c>
      <c r="C20" t="s">
        <v>99</v>
      </c>
      <c r="D20" t="s">
        <v>121</v>
      </c>
      <c r="E20" s="9">
        <v>45448</v>
      </c>
      <c r="F20" s="5">
        <v>375000</v>
      </c>
      <c r="G20" s="13">
        <v>0.14099999999999999</v>
      </c>
      <c r="H20" s="7">
        <v>48</v>
      </c>
      <c r="I20" s="5">
        <f>PMT(G20/12,H20,-F20)</f>
        <v>10266.249772522668</v>
      </c>
      <c r="K20" t="s">
        <v>101</v>
      </c>
      <c r="L20" t="s">
        <v>108</v>
      </c>
    </row>
    <row r="21" spans="1:12">
      <c r="A21" s="11" t="s">
        <v>132</v>
      </c>
      <c r="B21" t="s">
        <v>78</v>
      </c>
      <c r="C21" t="s">
        <v>104</v>
      </c>
      <c r="D21" t="s">
        <v>105</v>
      </c>
      <c r="E21" s="9">
        <v>45529</v>
      </c>
      <c r="F21" s="5">
        <v>70000</v>
      </c>
      <c r="G21" s="13">
        <v>0.16750000000000001</v>
      </c>
      <c r="H21" s="7">
        <v>18</v>
      </c>
      <c r="I21" s="5">
        <f>PMT(G21/12,H21,-F21)</f>
        <v>4424.8042255668379</v>
      </c>
      <c r="K21" t="s">
        <v>101</v>
      </c>
      <c r="L21" t="s">
        <v>115</v>
      </c>
    </row>
    <row r="22" spans="1:12">
      <c r="A22" s="11" t="s">
        <v>133</v>
      </c>
      <c r="B22" t="s">
        <v>82</v>
      </c>
      <c r="C22" t="s">
        <v>110</v>
      </c>
      <c r="D22" t="s">
        <v>111</v>
      </c>
      <c r="E22" s="9">
        <v>45350</v>
      </c>
      <c r="F22" s="5">
        <v>2200000</v>
      </c>
      <c r="G22" s="13">
        <v>0.13750000000000001</v>
      </c>
      <c r="H22" s="7">
        <v>60</v>
      </c>
      <c r="I22" s="5">
        <f>PMT(G22/12,H22,-F22)</f>
        <v>50905.458671284039</v>
      </c>
      <c r="K22" t="s">
        <v>101</v>
      </c>
      <c r="L22" t="s">
        <v>108</v>
      </c>
    </row>
    <row r="23" spans="1:12">
      <c r="A23" s="11" t="s">
        <v>134</v>
      </c>
      <c r="B23" t="s">
        <v>84</v>
      </c>
      <c r="C23" t="s">
        <v>99</v>
      </c>
      <c r="D23" t="s">
        <v>100</v>
      </c>
      <c r="E23" s="9">
        <v>45427</v>
      </c>
      <c r="F23" s="5">
        <v>280000</v>
      </c>
      <c r="G23" s="13">
        <v>0.14799999999999999</v>
      </c>
      <c r="H23" s="7">
        <v>36</v>
      </c>
      <c r="I23" s="5">
        <f>PMT(G23/12,H23,-F23)</f>
        <v>9678.8909830143675</v>
      </c>
      <c r="K23" t="s">
        <v>101</v>
      </c>
      <c r="L23" t="s">
        <v>102</v>
      </c>
    </row>
    <row r="24" spans="1:12">
      <c r="A24" s="11" t="s">
        <v>135</v>
      </c>
      <c r="B24" t="s">
        <v>27</v>
      </c>
      <c r="C24" t="s">
        <v>99</v>
      </c>
      <c r="D24" t="s">
        <v>100</v>
      </c>
      <c r="E24" s="9">
        <v>45698</v>
      </c>
      <c r="F24" s="5">
        <v>200000</v>
      </c>
      <c r="G24" s="13">
        <v>0.1525</v>
      </c>
      <c r="H24" s="7">
        <v>24</v>
      </c>
      <c r="I24" s="5">
        <f>PMT(G24/12,H24,-F24)</f>
        <v>9721.1022020782366</v>
      </c>
      <c r="K24" t="s">
        <v>101</v>
      </c>
      <c r="L24" t="s">
        <v>115</v>
      </c>
    </row>
    <row r="25" spans="1:12">
      <c r="A25" s="11" t="s">
        <v>136</v>
      </c>
      <c r="B25" t="s">
        <v>43</v>
      </c>
      <c r="C25" t="s">
        <v>99</v>
      </c>
      <c r="D25" t="s">
        <v>119</v>
      </c>
      <c r="E25" s="9">
        <v>45675</v>
      </c>
      <c r="F25" s="5">
        <v>300000</v>
      </c>
      <c r="G25" s="13">
        <v>0.15</v>
      </c>
      <c r="H25" s="7">
        <v>36</v>
      </c>
      <c r="I25" s="5">
        <f>PMT(G25/12,H25,-F25)</f>
        <v>10399.598551258241</v>
      </c>
      <c r="K25" t="s">
        <v>101</v>
      </c>
      <c r="L25" t="s">
        <v>102</v>
      </c>
    </row>
    <row r="26" spans="1:12">
      <c r="A26" s="11" t="s">
        <v>137</v>
      </c>
      <c r="B26" t="s">
        <v>49</v>
      </c>
      <c r="C26" t="s">
        <v>99</v>
      </c>
      <c r="D26" t="s">
        <v>100</v>
      </c>
      <c r="E26" s="9">
        <v>45759</v>
      </c>
      <c r="F26" s="5">
        <v>275000</v>
      </c>
      <c r="G26" s="13">
        <v>0.14599999999999999</v>
      </c>
      <c r="H26" s="7">
        <v>36</v>
      </c>
      <c r="I26" s="5">
        <f>PMT(G26/12,H26,-F26)</f>
        <v>9479.1860476091861</v>
      </c>
      <c r="K26" t="s">
        <v>101</v>
      </c>
      <c r="L26" t="s">
        <v>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553D-F51A-4FB9-8DE4-CCEA76015886}">
  <dimension ref="A1:J21"/>
  <sheetViews>
    <sheetView workbookViewId="0">
      <selection activeCell="G1" sqref="G1:G1048576"/>
    </sheetView>
  </sheetViews>
  <sheetFormatPr defaultRowHeight="15"/>
  <cols>
    <col min="1" max="1" width="16.7109375" style="11" bestFit="1" customWidth="1"/>
    <col min="2" max="2" width="10.7109375" bestFit="1" customWidth="1"/>
    <col min="3" max="3" width="12.28515625" style="9" bestFit="1" customWidth="1"/>
    <col min="4" max="4" width="16.85546875" style="9" bestFit="1" customWidth="1"/>
    <col min="5" max="5" width="16.42578125" style="5" bestFit="1" customWidth="1"/>
    <col min="6" max="6" width="16.7109375" style="5" bestFit="1" customWidth="1"/>
    <col min="7" max="7" width="7.28515625" style="15" bestFit="1" customWidth="1"/>
    <col min="8" max="8" width="18.140625" bestFit="1" customWidth="1"/>
    <col min="9" max="9" width="14.7109375" bestFit="1" customWidth="1"/>
    <col min="10" max="10" width="23.140625" bestFit="1" customWidth="1"/>
  </cols>
  <sheetData>
    <row r="1" spans="1:10">
      <c r="A1" s="10" t="s">
        <v>138</v>
      </c>
      <c r="B1" s="1" t="s">
        <v>87</v>
      </c>
      <c r="C1" s="8" t="s">
        <v>139</v>
      </c>
      <c r="D1" s="8" t="s">
        <v>140</v>
      </c>
      <c r="E1" s="4" t="s">
        <v>141</v>
      </c>
      <c r="F1" s="4" t="s">
        <v>142</v>
      </c>
      <c r="G1" s="14" t="s">
        <v>143</v>
      </c>
      <c r="H1" s="1" t="s">
        <v>144</v>
      </c>
      <c r="I1" s="1" t="s">
        <v>145</v>
      </c>
      <c r="J1" s="1" t="s">
        <v>146</v>
      </c>
    </row>
    <row r="2" spans="1:10">
      <c r="A2" s="11" t="s">
        <v>147</v>
      </c>
      <c r="B2" t="s">
        <v>98</v>
      </c>
      <c r="C2" s="9">
        <v>45337</v>
      </c>
      <c r="D2" s="9">
        <v>45336</v>
      </c>
      <c r="E2" s="5">
        <v>8605</v>
      </c>
      <c r="F2" s="5">
        <v>8605</v>
      </c>
      <c r="G2" s="15">
        <v>0</v>
      </c>
      <c r="H2" t="s">
        <v>148</v>
      </c>
      <c r="I2">
        <v>0</v>
      </c>
      <c r="J2">
        <v>0</v>
      </c>
    </row>
    <row r="3" spans="1:10">
      <c r="A3" s="11" t="s">
        <v>149</v>
      </c>
      <c r="B3" t="s">
        <v>98</v>
      </c>
      <c r="C3" s="9">
        <v>45366</v>
      </c>
      <c r="D3" s="9">
        <v>45366</v>
      </c>
      <c r="E3" s="5">
        <v>8605</v>
      </c>
      <c r="F3" s="5">
        <v>8605</v>
      </c>
      <c r="G3" s="15">
        <v>0</v>
      </c>
      <c r="H3" t="s">
        <v>148</v>
      </c>
      <c r="I3">
        <v>0</v>
      </c>
      <c r="J3">
        <v>0</v>
      </c>
    </row>
    <row r="4" spans="1:10">
      <c r="A4" s="11" t="s">
        <v>150</v>
      </c>
      <c r="B4" t="s">
        <v>98</v>
      </c>
      <c r="C4" s="9">
        <v>45397</v>
      </c>
      <c r="D4" s="9">
        <v>45397</v>
      </c>
      <c r="E4" s="5">
        <v>8605</v>
      </c>
      <c r="F4" s="5">
        <v>8605</v>
      </c>
      <c r="G4" s="15">
        <v>0</v>
      </c>
      <c r="H4" t="s">
        <v>148</v>
      </c>
      <c r="I4">
        <v>0</v>
      </c>
      <c r="J4">
        <v>0</v>
      </c>
    </row>
    <row r="5" spans="1:10">
      <c r="A5" s="11" t="s">
        <v>151</v>
      </c>
      <c r="B5" t="s">
        <v>98</v>
      </c>
      <c r="C5" s="9">
        <v>45427</v>
      </c>
      <c r="D5" s="9">
        <v>45427</v>
      </c>
      <c r="E5" s="5">
        <v>8605</v>
      </c>
      <c r="F5" s="5">
        <v>8605</v>
      </c>
      <c r="G5" s="15">
        <v>0</v>
      </c>
      <c r="H5" t="s">
        <v>148</v>
      </c>
      <c r="I5">
        <v>0</v>
      </c>
      <c r="J5">
        <v>0</v>
      </c>
    </row>
    <row r="6" spans="1:10">
      <c r="A6" s="11" t="s">
        <v>152</v>
      </c>
      <c r="B6" t="s">
        <v>98</v>
      </c>
      <c r="C6" s="9">
        <v>45458</v>
      </c>
      <c r="D6" s="9">
        <v>45458</v>
      </c>
      <c r="E6" s="5">
        <v>8605</v>
      </c>
      <c r="F6" s="5">
        <v>8605</v>
      </c>
      <c r="G6" s="15">
        <v>0</v>
      </c>
      <c r="H6" t="s">
        <v>148</v>
      </c>
      <c r="I6">
        <v>0</v>
      </c>
      <c r="J6">
        <v>0</v>
      </c>
    </row>
    <row r="7" spans="1:10">
      <c r="A7" s="11" t="s">
        <v>153</v>
      </c>
      <c r="B7" t="s">
        <v>103</v>
      </c>
      <c r="C7" s="9">
        <v>45545</v>
      </c>
      <c r="D7" s="9">
        <v>45545</v>
      </c>
      <c r="E7" s="5">
        <v>5343</v>
      </c>
      <c r="F7" s="5">
        <v>5343</v>
      </c>
      <c r="G7" s="15">
        <v>0</v>
      </c>
      <c r="H7" t="s">
        <v>148</v>
      </c>
      <c r="I7">
        <v>0</v>
      </c>
      <c r="J7">
        <v>0</v>
      </c>
    </row>
    <row r="8" spans="1:10">
      <c r="A8" s="11" t="s">
        <v>154</v>
      </c>
      <c r="B8" t="s">
        <v>103</v>
      </c>
      <c r="C8" s="9">
        <v>45575</v>
      </c>
      <c r="D8" s="9">
        <v>45578</v>
      </c>
      <c r="E8" s="5">
        <v>5343</v>
      </c>
      <c r="F8" s="5">
        <v>5343</v>
      </c>
      <c r="G8" s="15">
        <v>3</v>
      </c>
      <c r="H8" t="s">
        <v>148</v>
      </c>
      <c r="I8">
        <v>0</v>
      </c>
      <c r="J8">
        <v>0</v>
      </c>
    </row>
    <row r="9" spans="1:10">
      <c r="A9" s="11" t="s">
        <v>155</v>
      </c>
      <c r="B9" t="s">
        <v>103</v>
      </c>
      <c r="C9" s="9">
        <v>45606</v>
      </c>
      <c r="D9" s="9">
        <v>45613</v>
      </c>
      <c r="E9" s="5">
        <v>5343</v>
      </c>
      <c r="F9" s="5">
        <v>5343</v>
      </c>
      <c r="G9" s="15">
        <v>7</v>
      </c>
      <c r="H9" t="s">
        <v>148</v>
      </c>
      <c r="I9">
        <v>0</v>
      </c>
      <c r="J9">
        <v>0</v>
      </c>
    </row>
    <row r="10" spans="1:10">
      <c r="A10" s="11" t="s">
        <v>156</v>
      </c>
      <c r="B10" t="s">
        <v>103</v>
      </c>
      <c r="C10" s="9">
        <v>45636</v>
      </c>
      <c r="D10" s="9">
        <v>45648</v>
      </c>
      <c r="E10" s="5">
        <v>5343</v>
      </c>
      <c r="F10" s="5">
        <v>4000</v>
      </c>
      <c r="G10" s="15">
        <v>12</v>
      </c>
      <c r="H10" t="s">
        <v>157</v>
      </c>
      <c r="I10">
        <v>0</v>
      </c>
      <c r="J10">
        <v>1</v>
      </c>
    </row>
    <row r="11" spans="1:10">
      <c r="A11" s="11" t="s">
        <v>158</v>
      </c>
      <c r="B11" t="s">
        <v>103</v>
      </c>
      <c r="C11" s="9">
        <v>45667</v>
      </c>
      <c r="D11" s="9">
        <v>45675</v>
      </c>
      <c r="E11" s="5">
        <v>5343</v>
      </c>
      <c r="F11" s="5">
        <v>5343</v>
      </c>
      <c r="G11" s="15">
        <v>8</v>
      </c>
      <c r="H11" t="s">
        <v>148</v>
      </c>
      <c r="I11">
        <v>0</v>
      </c>
      <c r="J11">
        <v>0</v>
      </c>
    </row>
    <row r="12" spans="1:10">
      <c r="A12" s="11" t="s">
        <v>159</v>
      </c>
      <c r="B12" t="s">
        <v>109</v>
      </c>
      <c r="C12" s="9">
        <v>45347</v>
      </c>
      <c r="D12" s="9">
        <v>45347</v>
      </c>
      <c r="E12" s="5">
        <v>33549</v>
      </c>
      <c r="F12" s="5">
        <v>33549</v>
      </c>
      <c r="G12" s="15">
        <v>0</v>
      </c>
      <c r="H12" t="s">
        <v>148</v>
      </c>
      <c r="I12">
        <v>0</v>
      </c>
      <c r="J12">
        <v>0</v>
      </c>
    </row>
    <row r="13" spans="1:10">
      <c r="A13" s="11" t="s">
        <v>160</v>
      </c>
      <c r="B13" t="s">
        <v>109</v>
      </c>
      <c r="C13" s="9">
        <v>45376</v>
      </c>
      <c r="D13" s="9">
        <v>45381</v>
      </c>
      <c r="E13" s="5">
        <v>33549</v>
      </c>
      <c r="F13" s="5">
        <v>33549</v>
      </c>
      <c r="G13" s="15">
        <v>5</v>
      </c>
      <c r="H13" t="s">
        <v>148</v>
      </c>
      <c r="I13">
        <v>0</v>
      </c>
      <c r="J13">
        <v>0</v>
      </c>
    </row>
    <row r="14" spans="1:10">
      <c r="A14" s="11" t="s">
        <v>161</v>
      </c>
      <c r="B14" t="s">
        <v>109</v>
      </c>
      <c r="C14" s="9">
        <v>45407</v>
      </c>
      <c r="D14" s="9">
        <v>45419</v>
      </c>
      <c r="E14" s="5">
        <v>33549</v>
      </c>
      <c r="F14" s="5">
        <v>33549</v>
      </c>
      <c r="G14" s="15">
        <v>12</v>
      </c>
      <c r="H14" t="s">
        <v>148</v>
      </c>
      <c r="I14">
        <v>1</v>
      </c>
      <c r="J14">
        <v>0</v>
      </c>
    </row>
    <row r="15" spans="1:10">
      <c r="A15" s="11" t="s">
        <v>162</v>
      </c>
      <c r="B15" t="s">
        <v>109</v>
      </c>
      <c r="C15" s="9">
        <v>45437</v>
      </c>
      <c r="D15" s="9">
        <v>45462</v>
      </c>
      <c r="E15" s="5">
        <v>33549</v>
      </c>
      <c r="F15" s="5">
        <v>25000</v>
      </c>
      <c r="G15" s="15">
        <v>25</v>
      </c>
      <c r="H15" t="s">
        <v>157</v>
      </c>
      <c r="I15">
        <v>1</v>
      </c>
      <c r="J15">
        <v>1</v>
      </c>
    </row>
    <row r="16" spans="1:10">
      <c r="A16" s="11" t="s">
        <v>163</v>
      </c>
      <c r="B16" t="s">
        <v>109</v>
      </c>
      <c r="C16" s="9">
        <v>45468</v>
      </c>
      <c r="D16" s="9">
        <v>45506</v>
      </c>
      <c r="E16" s="5">
        <v>33549</v>
      </c>
      <c r="F16" s="5">
        <v>33549</v>
      </c>
      <c r="G16" s="15">
        <v>38</v>
      </c>
      <c r="H16" t="s">
        <v>148</v>
      </c>
      <c r="I16">
        <v>0</v>
      </c>
      <c r="J16">
        <v>0</v>
      </c>
    </row>
    <row r="17" spans="1:10">
      <c r="A17" s="11" t="s">
        <v>164</v>
      </c>
      <c r="B17" t="s">
        <v>109</v>
      </c>
      <c r="C17" s="9">
        <v>45498</v>
      </c>
      <c r="D17" s="9">
        <v>45550</v>
      </c>
      <c r="E17" s="5">
        <v>33549</v>
      </c>
      <c r="F17" s="5">
        <v>20000</v>
      </c>
      <c r="G17" s="15">
        <v>52</v>
      </c>
      <c r="H17" t="s">
        <v>157</v>
      </c>
      <c r="I17">
        <v>1</v>
      </c>
      <c r="J17">
        <v>1</v>
      </c>
    </row>
    <row r="18" spans="1:10">
      <c r="A18" s="11" t="s">
        <v>165</v>
      </c>
      <c r="B18" t="s">
        <v>116</v>
      </c>
      <c r="C18" s="9">
        <v>45387</v>
      </c>
      <c r="D18" s="9">
        <v>45412</v>
      </c>
      <c r="E18" s="5">
        <v>47318</v>
      </c>
      <c r="F18" s="5">
        <v>47318</v>
      </c>
      <c r="G18" s="15">
        <v>25</v>
      </c>
      <c r="H18" t="s">
        <v>148</v>
      </c>
      <c r="I18">
        <v>0</v>
      </c>
      <c r="J18">
        <v>0</v>
      </c>
    </row>
    <row r="19" spans="1:10">
      <c r="A19" s="11" t="s">
        <v>166</v>
      </c>
      <c r="B19" t="s">
        <v>116</v>
      </c>
      <c r="C19" s="9">
        <v>45417</v>
      </c>
      <c r="D19" s="9">
        <v>45462</v>
      </c>
      <c r="E19" s="5">
        <v>47318</v>
      </c>
      <c r="F19" s="5">
        <v>47318</v>
      </c>
      <c r="G19" s="15">
        <v>45</v>
      </c>
      <c r="H19" t="s">
        <v>148</v>
      </c>
      <c r="I19">
        <v>1</v>
      </c>
      <c r="J19">
        <v>0</v>
      </c>
    </row>
    <row r="20" spans="1:10">
      <c r="A20" s="11" t="s">
        <v>167</v>
      </c>
      <c r="B20" t="s">
        <v>116</v>
      </c>
      <c r="C20" s="9">
        <v>45448</v>
      </c>
      <c r="D20" s="9">
        <v>45513</v>
      </c>
      <c r="E20" s="5">
        <v>47318</v>
      </c>
      <c r="F20" s="5">
        <v>30000</v>
      </c>
      <c r="G20" s="15">
        <v>65</v>
      </c>
      <c r="H20" t="s">
        <v>157</v>
      </c>
      <c r="I20">
        <v>1</v>
      </c>
      <c r="J20">
        <v>1</v>
      </c>
    </row>
    <row r="21" spans="1:10">
      <c r="A21" s="11" t="s">
        <v>168</v>
      </c>
      <c r="B21" t="s">
        <v>116</v>
      </c>
      <c r="C21" s="9">
        <v>45478</v>
      </c>
      <c r="D21" s="9">
        <v>45556</v>
      </c>
      <c r="E21" s="5">
        <v>47318</v>
      </c>
      <c r="F21" s="5">
        <v>20000</v>
      </c>
      <c r="G21" s="15">
        <v>78</v>
      </c>
      <c r="H21" t="s">
        <v>157</v>
      </c>
      <c r="I21">
        <v>1</v>
      </c>
      <c r="J2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D76B-F0F6-4D61-B5B7-DF1C2479A37C}">
  <dimension ref="A1:J11"/>
  <sheetViews>
    <sheetView workbookViewId="0">
      <selection activeCell="E2" sqref="E2"/>
    </sheetView>
  </sheetViews>
  <sheetFormatPr defaultRowHeight="15"/>
  <cols>
    <col min="1" max="1" width="15.7109375" style="11" bestFit="1" customWidth="1"/>
    <col min="2" max="2" width="10.7109375" bestFit="1" customWidth="1"/>
    <col min="3" max="3" width="20" bestFit="1" customWidth="1"/>
    <col min="4" max="4" width="12.28515625" bestFit="1" customWidth="1"/>
    <col min="5" max="5" width="11.7109375" bestFit="1" customWidth="1"/>
    <col min="6" max="6" width="17.28515625" style="17" bestFit="1" customWidth="1"/>
    <col min="7" max="7" width="16.5703125" bestFit="1" customWidth="1"/>
    <col min="8" max="8" width="25" bestFit="1" customWidth="1"/>
    <col min="9" max="9" width="13.5703125" bestFit="1" customWidth="1"/>
    <col min="10" max="10" width="13.42578125" bestFit="1" customWidth="1"/>
  </cols>
  <sheetData>
    <row r="1" spans="1:10">
      <c r="A1" s="10" t="s">
        <v>169</v>
      </c>
      <c r="B1" s="1" t="s">
        <v>87</v>
      </c>
      <c r="C1" s="1" t="s">
        <v>170</v>
      </c>
      <c r="D1" s="1" t="s">
        <v>171</v>
      </c>
      <c r="E1" s="1" t="s">
        <v>172</v>
      </c>
      <c r="F1" s="16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>
      <c r="A2" s="11" t="s">
        <v>178</v>
      </c>
      <c r="B2" t="s">
        <v>98</v>
      </c>
      <c r="C2" t="s">
        <v>179</v>
      </c>
      <c r="D2">
        <v>0</v>
      </c>
      <c r="E2">
        <v>0</v>
      </c>
      <c r="F2" s="17">
        <v>1</v>
      </c>
      <c r="G2">
        <v>0</v>
      </c>
      <c r="H2">
        <v>0</v>
      </c>
      <c r="I2" t="s">
        <v>180</v>
      </c>
      <c r="J2" t="s">
        <v>181</v>
      </c>
    </row>
    <row r="3" spans="1:10">
      <c r="A3" s="11" t="s">
        <v>182</v>
      </c>
      <c r="B3" t="s">
        <v>98</v>
      </c>
      <c r="C3" t="s">
        <v>183</v>
      </c>
      <c r="D3">
        <v>0</v>
      </c>
      <c r="E3">
        <v>0</v>
      </c>
      <c r="F3" s="17">
        <v>1</v>
      </c>
      <c r="G3">
        <v>0</v>
      </c>
      <c r="H3">
        <v>0</v>
      </c>
      <c r="I3" t="s">
        <v>180</v>
      </c>
      <c r="J3" t="s">
        <v>181</v>
      </c>
    </row>
    <row r="4" spans="1:10">
      <c r="A4" s="11" t="s">
        <v>184</v>
      </c>
      <c r="B4" t="s">
        <v>103</v>
      </c>
      <c r="C4" t="s">
        <v>185</v>
      </c>
      <c r="D4">
        <v>3</v>
      </c>
      <c r="E4">
        <v>3</v>
      </c>
      <c r="F4" s="17">
        <v>1</v>
      </c>
      <c r="G4">
        <v>0</v>
      </c>
      <c r="H4">
        <v>0</v>
      </c>
      <c r="I4" t="s">
        <v>186</v>
      </c>
      <c r="J4" t="s">
        <v>187</v>
      </c>
    </row>
    <row r="5" spans="1:10">
      <c r="A5" s="11" t="s">
        <v>188</v>
      </c>
      <c r="B5" t="s">
        <v>103</v>
      </c>
      <c r="C5" t="s">
        <v>189</v>
      </c>
      <c r="D5">
        <v>7</v>
      </c>
      <c r="E5">
        <v>7</v>
      </c>
      <c r="F5" s="17">
        <v>1</v>
      </c>
      <c r="G5">
        <v>0</v>
      </c>
      <c r="H5">
        <v>0</v>
      </c>
      <c r="I5" t="s">
        <v>186</v>
      </c>
      <c r="J5" t="s">
        <v>187</v>
      </c>
    </row>
    <row r="6" spans="1:10">
      <c r="A6" s="11" t="s">
        <v>190</v>
      </c>
      <c r="B6" t="s">
        <v>103</v>
      </c>
      <c r="C6" t="s">
        <v>191</v>
      </c>
      <c r="D6">
        <v>12</v>
      </c>
      <c r="E6">
        <v>12</v>
      </c>
      <c r="F6" s="17">
        <v>0.75</v>
      </c>
      <c r="G6">
        <v>0</v>
      </c>
      <c r="H6">
        <v>1</v>
      </c>
      <c r="I6" t="s">
        <v>186</v>
      </c>
      <c r="J6" t="s">
        <v>192</v>
      </c>
    </row>
    <row r="7" spans="1:10">
      <c r="A7" s="11" t="s">
        <v>193</v>
      </c>
      <c r="B7" t="s">
        <v>109</v>
      </c>
      <c r="C7" t="s">
        <v>194</v>
      </c>
      <c r="D7">
        <v>12</v>
      </c>
      <c r="E7">
        <v>12</v>
      </c>
      <c r="F7" s="17">
        <v>1</v>
      </c>
      <c r="G7">
        <v>1</v>
      </c>
      <c r="H7">
        <v>0</v>
      </c>
      <c r="I7" t="s">
        <v>186</v>
      </c>
      <c r="J7" t="s">
        <v>192</v>
      </c>
    </row>
    <row r="8" spans="1:10">
      <c r="A8" s="11" t="s">
        <v>195</v>
      </c>
      <c r="B8" t="s">
        <v>109</v>
      </c>
      <c r="C8" t="s">
        <v>196</v>
      </c>
      <c r="D8">
        <v>25</v>
      </c>
      <c r="E8">
        <v>25</v>
      </c>
      <c r="F8" s="17">
        <v>0.75</v>
      </c>
      <c r="G8">
        <v>1</v>
      </c>
      <c r="H8">
        <v>1</v>
      </c>
      <c r="I8" t="s">
        <v>186</v>
      </c>
      <c r="J8" t="s">
        <v>192</v>
      </c>
    </row>
    <row r="9" spans="1:10">
      <c r="A9" s="11" t="s">
        <v>197</v>
      </c>
      <c r="B9" t="s">
        <v>109</v>
      </c>
      <c r="C9" t="s">
        <v>198</v>
      </c>
      <c r="D9">
        <v>38</v>
      </c>
      <c r="E9">
        <v>38</v>
      </c>
      <c r="F9" s="17">
        <v>1</v>
      </c>
      <c r="G9">
        <v>0</v>
      </c>
      <c r="H9">
        <v>0</v>
      </c>
      <c r="I9" t="s">
        <v>186</v>
      </c>
      <c r="J9" t="s">
        <v>199</v>
      </c>
    </row>
    <row r="10" spans="1:10">
      <c r="A10" s="11" t="s">
        <v>200</v>
      </c>
      <c r="B10" t="s">
        <v>109</v>
      </c>
      <c r="C10" t="s">
        <v>201</v>
      </c>
      <c r="D10">
        <v>52</v>
      </c>
      <c r="E10">
        <v>52</v>
      </c>
      <c r="F10" s="17">
        <v>0.6</v>
      </c>
      <c r="G10">
        <v>1</v>
      </c>
      <c r="H10">
        <v>1</v>
      </c>
      <c r="I10" t="s">
        <v>186</v>
      </c>
      <c r="J10" t="s">
        <v>199</v>
      </c>
    </row>
    <row r="11" spans="1:10">
      <c r="A11" s="11" t="s">
        <v>202</v>
      </c>
      <c r="B11" t="s">
        <v>116</v>
      </c>
      <c r="C11" t="s">
        <v>201</v>
      </c>
      <c r="D11">
        <v>78</v>
      </c>
      <c r="E11">
        <v>78</v>
      </c>
      <c r="F11" s="17">
        <v>0.42</v>
      </c>
      <c r="G11">
        <v>1</v>
      </c>
      <c r="H11">
        <v>1</v>
      </c>
      <c r="I11" t="s">
        <v>186</v>
      </c>
      <c r="J11" t="s">
        <v>203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9586-9F88-4C53-B432-75D304A4CB53}">
  <dimension ref="A1:P11"/>
  <sheetViews>
    <sheetView topLeftCell="J1" workbookViewId="0">
      <selection activeCell="K15" sqref="K15"/>
    </sheetView>
  </sheetViews>
  <sheetFormatPr defaultRowHeight="15"/>
  <cols>
    <col min="1" max="1" width="11.5703125" bestFit="1" customWidth="1"/>
    <col min="2" max="2" width="10.7109375" bestFit="1" customWidth="1"/>
    <col min="3" max="3" width="14.5703125" bestFit="1" customWidth="1"/>
    <col min="4" max="4" width="13.5703125" bestFit="1" customWidth="1"/>
    <col min="5" max="5" width="17.85546875" bestFit="1" customWidth="1"/>
    <col min="6" max="6" width="16.5703125" bestFit="1" customWidth="1"/>
    <col min="7" max="7" width="25" bestFit="1" customWidth="1"/>
    <col min="8" max="8" width="15" bestFit="1" customWidth="1"/>
    <col min="9" max="9" width="15.140625" bestFit="1" customWidth="1"/>
    <col min="10" max="10" width="13.42578125" bestFit="1" customWidth="1"/>
    <col min="11" max="11" width="13" bestFit="1" customWidth="1"/>
    <col min="12" max="12" width="12.140625" bestFit="1" customWidth="1"/>
    <col min="13" max="13" width="20.28515625" bestFit="1" customWidth="1"/>
    <col min="14" max="14" width="26.42578125" bestFit="1" customWidth="1"/>
    <col min="15" max="15" width="26" bestFit="1" customWidth="1"/>
    <col min="16" max="16" width="59.7109375" bestFit="1" customWidth="1"/>
  </cols>
  <sheetData>
    <row r="1" spans="1:16">
      <c r="A1" s="1" t="s">
        <v>204</v>
      </c>
      <c r="B1" s="1" t="s">
        <v>87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</row>
    <row r="2" spans="1:16">
      <c r="A2" t="s">
        <v>219</v>
      </c>
      <c r="B2" t="s">
        <v>98</v>
      </c>
      <c r="C2" t="s">
        <v>179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181</v>
      </c>
      <c r="K2">
        <f t="shared" ref="K2:K11" si="0">D2*30+E2*20+F2*15+G2*15+H2*20</f>
        <v>0</v>
      </c>
      <c r="L2" t="str">
        <f t="shared" ref="L2:L11" si="1">IF(K2&gt;=80,"Critical",IF(K2&gt;=60,"High",IF(K2&gt;=30,"Moderate","Low")))</f>
        <v>Low</v>
      </c>
      <c r="M2" t="str">
        <f t="shared" ref="M2:M11" si="2">IF(K2&gt;=80,"P1 - Immediate",IF(K2&gt;=60,"P2 - High",IF(K2&gt;=30,"P3 - Monitor","P4 - Routine")))</f>
        <v>P4 - Routine</v>
      </c>
      <c r="N2" s="15" t="str">
        <f t="shared" ref="N2:N11" si="3">IF(M2="P1 - Immediate","Immediate Collection Call",IF(M2="P2 - High","Priority Collection Follow-up",IF(M2="P3 - Monitor","Monitor &amp; Send Reminder","Routine Monitoring")))</f>
        <v>Routine Monitoring</v>
      </c>
      <c r="O2" s="15" t="str">
        <f t="shared" ref="O2:O11" si="4">IF(K2&gt;=80,"Multiple severe risk signals",IF(K2&gt;=60,"High DPD or payment stress",IF(K2&gt;=30,"Emerging repayment risk","No significant risk signal")))</f>
        <v>No significant risk signal</v>
      </c>
      <c r="P2" s="15" t="str">
        <f t="shared" ref="P2:P11" si="5">IF(M2="P1 - Immediate","High-risk borrower requires immediate collection intervention",IF(M2="P2 - High","Borrower shows significant repayment stress; prioritize follow-up",IF(M2="P3 - Monitor","Early warning indicators detected; monitor borrower closely","Borrower currently shows normal repayment behaviour")))</f>
        <v>Borrower currently shows normal repayment behaviour</v>
      </c>
    </row>
    <row r="3" spans="1:16">
      <c r="A3" t="s">
        <v>220</v>
      </c>
      <c r="B3" t="s">
        <v>98</v>
      </c>
      <c r="C3" t="s">
        <v>183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181</v>
      </c>
      <c r="K3">
        <f t="shared" si="0"/>
        <v>0</v>
      </c>
      <c r="L3" t="str">
        <f t="shared" si="1"/>
        <v>Low</v>
      </c>
      <c r="M3" t="str">
        <f t="shared" si="2"/>
        <v>P4 - Routine</v>
      </c>
      <c r="N3" s="15" t="str">
        <f t="shared" si="3"/>
        <v>Routine Monitoring</v>
      </c>
      <c r="O3" s="15" t="str">
        <f t="shared" si="4"/>
        <v>No significant risk signal</v>
      </c>
      <c r="P3" s="15" t="str">
        <f t="shared" si="5"/>
        <v>Borrower currently shows normal repayment behaviour</v>
      </c>
    </row>
    <row r="4" spans="1:16">
      <c r="A4" t="s">
        <v>221</v>
      </c>
      <c r="B4" t="s">
        <v>103</v>
      </c>
      <c r="C4" t="s">
        <v>185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 t="s">
        <v>187</v>
      </c>
      <c r="K4">
        <f t="shared" si="0"/>
        <v>20</v>
      </c>
      <c r="L4" t="str">
        <f t="shared" si="1"/>
        <v>Low</v>
      </c>
      <c r="M4" t="str">
        <f t="shared" si="2"/>
        <v>P4 - Routine</v>
      </c>
      <c r="N4" s="15" t="str">
        <f t="shared" si="3"/>
        <v>Routine Monitoring</v>
      </c>
      <c r="O4" s="15" t="str">
        <f t="shared" si="4"/>
        <v>No significant risk signal</v>
      </c>
      <c r="P4" s="15" t="str">
        <f t="shared" si="5"/>
        <v>Borrower currently shows normal repayment behaviour</v>
      </c>
    </row>
    <row r="5" spans="1:16">
      <c r="A5" t="s">
        <v>222</v>
      </c>
      <c r="B5" t="s">
        <v>103</v>
      </c>
      <c r="C5" t="s">
        <v>189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 t="s">
        <v>187</v>
      </c>
      <c r="K5">
        <f t="shared" si="0"/>
        <v>20</v>
      </c>
      <c r="L5" t="str">
        <f t="shared" si="1"/>
        <v>Low</v>
      </c>
      <c r="M5" t="str">
        <f t="shared" si="2"/>
        <v>P4 - Routine</v>
      </c>
      <c r="N5" s="15" t="str">
        <f t="shared" si="3"/>
        <v>Routine Monitoring</v>
      </c>
      <c r="O5" s="15" t="str">
        <f t="shared" si="4"/>
        <v>No significant risk signal</v>
      </c>
      <c r="P5" s="15" t="str">
        <f t="shared" si="5"/>
        <v>Borrower currently shows normal repayment behaviour</v>
      </c>
    </row>
    <row r="6" spans="1:16">
      <c r="A6" t="s">
        <v>223</v>
      </c>
      <c r="B6" t="s">
        <v>103</v>
      </c>
      <c r="C6" t="s">
        <v>191</v>
      </c>
      <c r="D6">
        <v>1</v>
      </c>
      <c r="E6">
        <v>1</v>
      </c>
      <c r="F6">
        <v>0</v>
      </c>
      <c r="G6">
        <v>1</v>
      </c>
      <c r="H6">
        <v>1</v>
      </c>
      <c r="I6">
        <v>4</v>
      </c>
      <c r="J6" t="s">
        <v>199</v>
      </c>
      <c r="K6">
        <f t="shared" si="0"/>
        <v>85</v>
      </c>
      <c r="L6" t="str">
        <f t="shared" si="1"/>
        <v>Critical</v>
      </c>
      <c r="M6" t="str">
        <f t="shared" si="2"/>
        <v>P1 - Immediate</v>
      </c>
      <c r="N6" s="15" t="str">
        <f t="shared" si="3"/>
        <v>Immediate Collection Call</v>
      </c>
      <c r="O6" s="15" t="str">
        <f t="shared" si="4"/>
        <v>Multiple severe risk signals</v>
      </c>
      <c r="P6" s="15" t="str">
        <f t="shared" si="5"/>
        <v>High-risk borrower requires immediate collection intervention</v>
      </c>
    </row>
    <row r="7" spans="1:16">
      <c r="A7" t="s">
        <v>224</v>
      </c>
      <c r="B7" t="s">
        <v>109</v>
      </c>
      <c r="C7" t="s">
        <v>194</v>
      </c>
      <c r="D7">
        <v>1</v>
      </c>
      <c r="E7">
        <v>0</v>
      </c>
      <c r="F7">
        <v>1</v>
      </c>
      <c r="G7">
        <v>0</v>
      </c>
      <c r="H7">
        <v>1</v>
      </c>
      <c r="I7">
        <v>3</v>
      </c>
      <c r="J7" t="s">
        <v>192</v>
      </c>
      <c r="K7">
        <f t="shared" si="0"/>
        <v>65</v>
      </c>
      <c r="L7" t="str">
        <f t="shared" si="1"/>
        <v>High</v>
      </c>
      <c r="M7" t="str">
        <f t="shared" si="2"/>
        <v>P2 - High</v>
      </c>
      <c r="N7" s="15" t="str">
        <f t="shared" si="3"/>
        <v>Priority Collection Follow-up</v>
      </c>
      <c r="O7" s="15" t="str">
        <f t="shared" si="4"/>
        <v>High DPD or payment stress</v>
      </c>
      <c r="P7" s="15" t="str">
        <f t="shared" si="5"/>
        <v>Borrower shows significant repayment stress; prioritize follow-up</v>
      </c>
    </row>
    <row r="8" spans="1:16">
      <c r="A8" t="s">
        <v>225</v>
      </c>
      <c r="B8" t="s">
        <v>109</v>
      </c>
      <c r="C8" t="s">
        <v>196</v>
      </c>
      <c r="D8">
        <v>1</v>
      </c>
      <c r="E8">
        <v>1</v>
      </c>
      <c r="F8">
        <v>1</v>
      </c>
      <c r="G8">
        <v>1</v>
      </c>
      <c r="H8">
        <v>1</v>
      </c>
      <c r="I8">
        <v>5</v>
      </c>
      <c r="J8" t="s">
        <v>199</v>
      </c>
      <c r="K8">
        <f t="shared" si="0"/>
        <v>100</v>
      </c>
      <c r="L8" t="str">
        <f t="shared" si="1"/>
        <v>Critical</v>
      </c>
      <c r="M8" t="str">
        <f t="shared" si="2"/>
        <v>P1 - Immediate</v>
      </c>
      <c r="N8" s="15" t="str">
        <f t="shared" si="3"/>
        <v>Immediate Collection Call</v>
      </c>
      <c r="O8" s="15" t="str">
        <f t="shared" si="4"/>
        <v>Multiple severe risk signals</v>
      </c>
      <c r="P8" s="15" t="str">
        <f t="shared" si="5"/>
        <v>High-risk borrower requires immediate collection intervention</v>
      </c>
    </row>
    <row r="9" spans="1:16">
      <c r="A9" t="s">
        <v>226</v>
      </c>
      <c r="B9" t="s">
        <v>109</v>
      </c>
      <c r="C9" t="s">
        <v>198</v>
      </c>
      <c r="D9">
        <v>1</v>
      </c>
      <c r="E9">
        <v>0</v>
      </c>
      <c r="F9">
        <v>0</v>
      </c>
      <c r="G9">
        <v>0</v>
      </c>
      <c r="H9">
        <v>1</v>
      </c>
      <c r="I9">
        <v>2</v>
      </c>
      <c r="J9" t="s">
        <v>192</v>
      </c>
      <c r="K9">
        <f t="shared" si="0"/>
        <v>50</v>
      </c>
      <c r="L9" t="str">
        <f t="shared" si="1"/>
        <v>Moderate</v>
      </c>
      <c r="M9" t="str">
        <f t="shared" si="2"/>
        <v>P3 - Monitor</v>
      </c>
      <c r="N9" s="15" t="str">
        <f t="shared" si="3"/>
        <v>Monitor &amp; Send Reminder</v>
      </c>
      <c r="O9" s="15" t="str">
        <f t="shared" si="4"/>
        <v>Emerging repayment risk</v>
      </c>
      <c r="P9" s="15" t="str">
        <f t="shared" si="5"/>
        <v>Early warning indicators detected; monitor borrower closely</v>
      </c>
    </row>
    <row r="10" spans="1:16">
      <c r="A10" t="s">
        <v>227</v>
      </c>
      <c r="B10" t="s">
        <v>109</v>
      </c>
      <c r="C10" t="s">
        <v>201</v>
      </c>
      <c r="D10">
        <v>1</v>
      </c>
      <c r="E10">
        <v>1</v>
      </c>
      <c r="F10">
        <v>1</v>
      </c>
      <c r="G10">
        <v>1</v>
      </c>
      <c r="H10">
        <v>1</v>
      </c>
      <c r="I10">
        <v>5</v>
      </c>
      <c r="J10" t="s">
        <v>199</v>
      </c>
      <c r="K10">
        <f t="shared" si="0"/>
        <v>100</v>
      </c>
      <c r="L10" t="str">
        <f t="shared" si="1"/>
        <v>Critical</v>
      </c>
      <c r="M10" t="str">
        <f t="shared" si="2"/>
        <v>P1 - Immediate</v>
      </c>
      <c r="N10" s="15" t="str">
        <f t="shared" si="3"/>
        <v>Immediate Collection Call</v>
      </c>
      <c r="O10" s="15" t="str">
        <f t="shared" si="4"/>
        <v>Multiple severe risk signals</v>
      </c>
      <c r="P10" s="15" t="str">
        <f t="shared" si="5"/>
        <v>High-risk borrower requires immediate collection intervention</v>
      </c>
    </row>
    <row r="11" spans="1:16">
      <c r="A11" t="s">
        <v>228</v>
      </c>
      <c r="B11" t="s">
        <v>116</v>
      </c>
      <c r="C11" t="s">
        <v>201</v>
      </c>
      <c r="D11">
        <v>1</v>
      </c>
      <c r="E11">
        <v>1</v>
      </c>
      <c r="F11">
        <v>1</v>
      </c>
      <c r="G11">
        <v>1</v>
      </c>
      <c r="H11">
        <v>1</v>
      </c>
      <c r="I11">
        <v>5</v>
      </c>
      <c r="J11" t="s">
        <v>199</v>
      </c>
      <c r="K11">
        <f t="shared" si="0"/>
        <v>100</v>
      </c>
      <c r="L11" t="str">
        <f t="shared" si="1"/>
        <v>Critical</v>
      </c>
      <c r="M11" t="str">
        <f t="shared" si="2"/>
        <v>P1 - Immediate</v>
      </c>
      <c r="N11" s="15" t="str">
        <f t="shared" si="3"/>
        <v>Immediate Collection Call</v>
      </c>
      <c r="O11" s="15" t="str">
        <f t="shared" si="4"/>
        <v>Multiple severe risk signals</v>
      </c>
      <c r="P11" s="15" t="str">
        <f t="shared" si="5"/>
        <v>High-risk borrower requires immediate collection intervention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C43C-644F-40B8-981D-AED27BD50CA8}">
  <dimension ref="A1:M22"/>
  <sheetViews>
    <sheetView tabSelected="1" workbookViewId="0">
      <selection activeCell="E4" sqref="E4"/>
    </sheetView>
  </sheetViews>
  <sheetFormatPr defaultRowHeight="15"/>
  <cols>
    <col min="1" max="1" width="15.28515625" style="11" bestFit="1" customWidth="1"/>
    <col min="2" max="2" width="10.7109375" bestFit="1" customWidth="1"/>
    <col min="3" max="3" width="17.7109375" style="9" bestFit="1" customWidth="1"/>
    <col min="4" max="4" width="15.85546875" bestFit="1" customWidth="1"/>
    <col min="5" max="5" width="17.140625" bestFit="1" customWidth="1"/>
    <col min="6" max="6" width="18" bestFit="1" customWidth="1"/>
    <col min="7" max="7" width="20.42578125" style="5" bestFit="1" customWidth="1"/>
    <col min="8" max="8" width="20.28515625" bestFit="1" customWidth="1"/>
    <col min="9" max="9" width="39.42578125" bestFit="1" customWidth="1"/>
  </cols>
  <sheetData>
    <row r="1" spans="1:9">
      <c r="A1" s="10" t="s">
        <v>229</v>
      </c>
      <c r="B1" s="1" t="s">
        <v>87</v>
      </c>
      <c r="C1" s="8" t="s">
        <v>230</v>
      </c>
      <c r="D1" s="1" t="s">
        <v>231</v>
      </c>
      <c r="E1" s="1" t="s">
        <v>232</v>
      </c>
      <c r="F1" s="1" t="s">
        <v>233</v>
      </c>
      <c r="G1" s="4" t="s">
        <v>234</v>
      </c>
      <c r="H1" s="1" t="s">
        <v>235</v>
      </c>
      <c r="I1" s="1" t="s">
        <v>236</v>
      </c>
    </row>
    <row r="2" spans="1:9">
      <c r="A2" s="11" t="s">
        <v>237</v>
      </c>
      <c r="B2" t="s">
        <v>98</v>
      </c>
      <c r="C2" s="9">
        <v>45356</v>
      </c>
      <c r="D2" t="s">
        <v>238</v>
      </c>
      <c r="E2" t="s">
        <v>239</v>
      </c>
      <c r="F2" t="s">
        <v>240</v>
      </c>
      <c r="G2" s="5">
        <v>0</v>
      </c>
      <c r="H2" s="5">
        <v>0</v>
      </c>
      <c r="I2" t="s">
        <v>241</v>
      </c>
    </row>
    <row r="3" spans="1:9">
      <c r="A3" s="11" t="s">
        <v>242</v>
      </c>
      <c r="B3" t="s">
        <v>98</v>
      </c>
      <c r="C3" s="9">
        <v>45363</v>
      </c>
      <c r="D3" t="s">
        <v>243</v>
      </c>
      <c r="E3" t="s">
        <v>244</v>
      </c>
      <c r="F3" t="s">
        <v>245</v>
      </c>
      <c r="G3" s="5">
        <v>5000</v>
      </c>
      <c r="H3" s="5">
        <v>5000</v>
      </c>
      <c r="I3" t="s">
        <v>246</v>
      </c>
    </row>
    <row r="4" spans="1:9">
      <c r="A4" s="11" t="s">
        <v>247</v>
      </c>
      <c r="B4" t="s">
        <v>103</v>
      </c>
      <c r="C4" s="9">
        <v>45601</v>
      </c>
      <c r="D4" t="s">
        <v>243</v>
      </c>
      <c r="E4" t="s">
        <v>244</v>
      </c>
      <c r="F4" t="s">
        <v>245</v>
      </c>
      <c r="G4" s="5">
        <v>7500</v>
      </c>
      <c r="H4" s="5">
        <v>5000</v>
      </c>
      <c r="I4" t="s">
        <v>248</v>
      </c>
    </row>
    <row r="5" spans="1:9">
      <c r="A5" s="11" t="s">
        <v>249</v>
      </c>
      <c r="B5" t="s">
        <v>103</v>
      </c>
      <c r="C5" s="9">
        <v>45636</v>
      </c>
      <c r="D5" t="s">
        <v>243</v>
      </c>
      <c r="E5" t="s">
        <v>244</v>
      </c>
      <c r="F5" t="s">
        <v>245</v>
      </c>
      <c r="G5" s="5">
        <v>10000</v>
      </c>
      <c r="H5" s="5">
        <v>7500</v>
      </c>
      <c r="I5" t="s">
        <v>250</v>
      </c>
    </row>
    <row r="6" spans="1:9">
      <c r="A6" s="11" t="s">
        <v>251</v>
      </c>
      <c r="B6" t="s">
        <v>103</v>
      </c>
      <c r="C6" s="9">
        <v>45646</v>
      </c>
      <c r="D6" t="s">
        <v>252</v>
      </c>
      <c r="E6" t="s">
        <v>244</v>
      </c>
      <c r="F6" t="s">
        <v>240</v>
      </c>
      <c r="G6" s="5">
        <v>0</v>
      </c>
      <c r="H6" s="5">
        <v>0</v>
      </c>
      <c r="I6" t="s">
        <v>253</v>
      </c>
    </row>
    <row r="7" spans="1:9">
      <c r="A7" s="11" t="s">
        <v>254</v>
      </c>
      <c r="B7" t="s">
        <v>109</v>
      </c>
      <c r="C7" s="9">
        <v>45392</v>
      </c>
      <c r="D7" t="s">
        <v>243</v>
      </c>
      <c r="E7" t="s">
        <v>255</v>
      </c>
      <c r="F7" t="s">
        <v>240</v>
      </c>
      <c r="G7" s="5">
        <v>0</v>
      </c>
      <c r="H7" s="5">
        <v>0</v>
      </c>
      <c r="I7" t="s">
        <v>256</v>
      </c>
    </row>
    <row r="8" spans="1:9">
      <c r="A8" s="11" t="s">
        <v>257</v>
      </c>
      <c r="B8" t="s">
        <v>109</v>
      </c>
      <c r="C8" s="9">
        <v>45420</v>
      </c>
      <c r="D8" t="s">
        <v>243</v>
      </c>
      <c r="E8" t="s">
        <v>244</v>
      </c>
      <c r="F8" t="s">
        <v>245</v>
      </c>
      <c r="G8" s="5">
        <v>8000</v>
      </c>
      <c r="H8" s="5">
        <v>8000</v>
      </c>
      <c r="I8" t="s">
        <v>258</v>
      </c>
    </row>
    <row r="9" spans="1:9">
      <c r="A9" s="11" t="s">
        <v>259</v>
      </c>
      <c r="B9" t="s">
        <v>109</v>
      </c>
      <c r="C9" s="9">
        <v>45455</v>
      </c>
      <c r="D9" t="s">
        <v>260</v>
      </c>
      <c r="E9" t="s">
        <v>244</v>
      </c>
      <c r="F9" t="s">
        <v>245</v>
      </c>
      <c r="G9" s="5">
        <v>10000</v>
      </c>
      <c r="H9" s="5">
        <v>5000</v>
      </c>
      <c r="I9" t="s">
        <v>248</v>
      </c>
    </row>
    <row r="10" spans="1:9">
      <c r="A10" s="11" t="s">
        <v>261</v>
      </c>
      <c r="B10" t="s">
        <v>109</v>
      </c>
      <c r="C10" s="9">
        <v>45483</v>
      </c>
      <c r="D10" t="s">
        <v>252</v>
      </c>
      <c r="E10" t="s">
        <v>244</v>
      </c>
      <c r="F10" t="s">
        <v>240</v>
      </c>
      <c r="G10" s="5">
        <v>0</v>
      </c>
      <c r="H10" s="5">
        <v>0</v>
      </c>
      <c r="I10" t="s">
        <v>262</v>
      </c>
    </row>
    <row r="11" spans="1:9">
      <c r="A11" s="11" t="s">
        <v>263</v>
      </c>
      <c r="B11" t="s">
        <v>116</v>
      </c>
      <c r="C11" s="9">
        <v>45488</v>
      </c>
      <c r="D11" t="s">
        <v>252</v>
      </c>
      <c r="E11" t="s">
        <v>244</v>
      </c>
      <c r="F11" t="s">
        <v>245</v>
      </c>
      <c r="G11" s="5">
        <v>15000</v>
      </c>
      <c r="H11" s="5">
        <v>5000</v>
      </c>
      <c r="I11" t="s">
        <v>264</v>
      </c>
    </row>
    <row r="22" spans="5:13">
      <c r="E22" s="1"/>
      <c r="F22" s="1"/>
      <c r="G22" s="4"/>
      <c r="H22" s="1"/>
      <c r="I22" s="1"/>
      <c r="J22" s="1"/>
      <c r="K22" s="1"/>
      <c r="L22" s="1"/>
      <c r="M2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2026-09-11T09:11:00Z</dcterms:created>
  <dcterms:modified xsi:type="dcterms:W3CDTF">2026-09-30T07:03:30Z</dcterms:modified>
  <cp:category/>
  <cp:contentStatus/>
</cp:coreProperties>
</file>